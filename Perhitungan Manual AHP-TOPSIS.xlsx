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ama" sheetId="1" r:id="rId5"/>
    <sheet state="visible" name="AHP" sheetId="2" r:id="rId6"/>
    <sheet state="visible" name="Data Pariwisata Balikpapan" sheetId="3" r:id="rId7"/>
    <sheet state="visible" name="Rangking" sheetId="4" r:id="rId8"/>
  </sheets>
  <definedNames/>
  <calcPr/>
</workbook>
</file>

<file path=xl/sharedStrings.xml><?xml version="1.0" encoding="utf-8"?>
<sst xmlns="http://schemas.openxmlformats.org/spreadsheetml/2006/main" count="636" uniqueCount="170">
  <si>
    <t>Pemilihan Prioritas Pengembangan Pariwisata di Balikpapan</t>
  </si>
  <si>
    <t>Tujuan</t>
  </si>
  <si>
    <t>Menentukan Prioritas Pengembangan Pariwisata Balikpapan</t>
  </si>
  <si>
    <t>Kriteria</t>
  </si>
  <si>
    <t>K1 (Akses)</t>
  </si>
  <si>
    <t>K2 (Amenitas)</t>
  </si>
  <si>
    <t>K3 (Atraksi)</t>
  </si>
  <si>
    <t>K4 (Kelembagaan)</t>
  </si>
  <si>
    <t>K5 (Ekonomi)</t>
  </si>
  <si>
    <t>K6 (Lingkungan)</t>
  </si>
  <si>
    <t>K7 (Stategis IKN)</t>
  </si>
  <si>
    <t>Benefit</t>
  </si>
  <si>
    <t>Sub Kriteria</t>
  </si>
  <si>
    <t>Sangat Baik</t>
  </si>
  <si>
    <t>Jalan beraspal baik, dapat dilalui semua kendaraan, tersedia transportasi umum</t>
  </si>
  <si>
    <t>Sangat Lengkap</t>
  </si>
  <si>
    <t>Tersedia toilet, parkir, tempat ibadah, kuliner, dan pusat informasi</t>
  </si>
  <si>
    <t>Sangat Menarik</t>
  </si>
  <si>
    <t>Memiliki daya tarik unik dan beragam aktivitas wisata</t>
  </si>
  <si>
    <t>Dikelola aktif oleh pengelola dan mendapat dukungan pemerintah serta masyarakat</t>
  </si>
  <si>
    <t>Sangat Tinggi</t>
  </si>
  <si>
    <t>Memberikan dampak ekonomi besar bagi masyarakat sekitar</t>
  </si>
  <si>
    <t>Kawasan wisata bersih, terawat, memiliki pengelolaan sampah yang baik, serta kelestarian lingkungan terjaga</t>
  </si>
  <si>
    <t>Sangat Stategis</t>
  </si>
  <si>
    <t>Sangat dekat dan berpotensi tinggi menjadi destinasi penunjang IKN</t>
  </si>
  <si>
    <t>Baik</t>
  </si>
  <si>
    <t>Jalan beraspal baik, transportasi umum terbatas</t>
  </si>
  <si>
    <t>Lengkap</t>
  </si>
  <si>
    <t>Tersedia sebagian besar fasilitas dasar</t>
  </si>
  <si>
    <t>Menarik</t>
  </si>
  <si>
    <t>Memiliki daya tarik yang cukup menarik dan aktivitas wisata cukup beragam</t>
  </si>
  <si>
    <t>Pengelolaan berjalan cukup baik</t>
  </si>
  <si>
    <t>Tinggi</t>
  </si>
  <si>
    <t>Memberikan dampak ekonomi yang cukup signifikan</t>
  </si>
  <si>
    <t>Kawasan cukup bersih dan terawat, terdapat pengelolaan lingkungan yang memadai</t>
  </si>
  <si>
    <t>Stategis</t>
  </si>
  <si>
    <t>Cukup dekat dan memiliki potensi mendukung IKN</t>
  </si>
  <si>
    <t>Kurang Baik</t>
  </si>
  <si>
    <t>Sebagian jalan rusak atau sulit diakses kendaraan besar</t>
  </si>
  <si>
    <t>Kurang Lengkap</t>
  </si>
  <si>
    <t>Hanya tersedia beberapa fasilitas dasar</t>
  </si>
  <si>
    <t>Kurang Menarik</t>
  </si>
  <si>
    <t>Daya tarik terbatas dan aktivitas wisata sedikit</t>
  </si>
  <si>
    <t>Pengelolaan kurang optimal</t>
  </si>
  <si>
    <t>Rendah</t>
  </si>
  <si>
    <t>Dampak ekonomi masih terbatas</t>
  </si>
  <si>
    <t>Terdapat beberapa masalah kebersihan, kerusakan lingkungan ringan, atau pengelolaan lingkungan kurang optimal</t>
  </si>
  <si>
    <t>Kurang Strategis</t>
  </si>
  <si>
    <t>Potensi keterkaitan dengan IKN masih terbatas</t>
  </si>
  <si>
    <t>Tidak Baik</t>
  </si>
  <si>
    <t>Jalan rusak berat atau akses menuju lokasi sulit</t>
  </si>
  <si>
    <t>Tidak Lengkap</t>
  </si>
  <si>
    <t>Fasilitas pendukung sangat minim</t>
  </si>
  <si>
    <t>Tidak Menarik</t>
  </si>
  <si>
    <t>Daya tarik dan aktivitas wisata sangat terbatas</t>
  </si>
  <si>
    <t>Tidak terdapat pengelolaan yang jelas</t>
  </si>
  <si>
    <t>Sangat Rendah</t>
  </si>
  <si>
    <t>Hampir tidak memberikan dampak ekonomi</t>
  </si>
  <si>
    <t>Lingkungan kurang terawat, banyak sampah, dan berpotensi mengalami kerusakan lingkungan yang serius</t>
  </si>
  <si>
    <t>Tidak Strategis</t>
  </si>
  <si>
    <t>Tidak memiliki keterkaitan yang signifikan dengan IKN</t>
  </si>
  <si>
    <t>Matriks Perbandingan</t>
  </si>
  <si>
    <t>Normalisasi</t>
  </si>
  <si>
    <t>Bobot Kriteria</t>
  </si>
  <si>
    <t>Ax</t>
  </si>
  <si>
    <t>K1</t>
  </si>
  <si>
    <t>K2</t>
  </si>
  <si>
    <t>K3</t>
  </si>
  <si>
    <t>K4</t>
  </si>
  <si>
    <t>K5</t>
  </si>
  <si>
    <t>K6</t>
  </si>
  <si>
    <t>K7</t>
  </si>
  <si>
    <t>Jumlah Baris</t>
  </si>
  <si>
    <t>Jumlah</t>
  </si>
  <si>
    <t>xmax</t>
  </si>
  <si>
    <t>Jumlah Kolom</t>
  </si>
  <si>
    <t>Rumus CI</t>
  </si>
  <si>
    <t>CI</t>
  </si>
  <si>
    <t>IR</t>
  </si>
  <si>
    <t>Rumus CR</t>
  </si>
  <si>
    <t>CR</t>
  </si>
  <si>
    <t>Konsisten</t>
  </si>
  <si>
    <t>Matriks Kategorikal</t>
  </si>
  <si>
    <t>Matriks Kategorikal ke Numerik</t>
  </si>
  <si>
    <t>Matriks Normalisasi</t>
  </si>
  <si>
    <t>Matriks Normalisasi Bobot Y</t>
  </si>
  <si>
    <t>Jarak  Solusi Ideal</t>
  </si>
  <si>
    <t>Nilai Preferensi</t>
  </si>
  <si>
    <t>No.</t>
  </si>
  <si>
    <t>Alternatif</t>
  </si>
  <si>
    <t>No</t>
  </si>
  <si>
    <t>Wisata Bahari, Pesisir &amp; Pantai</t>
  </si>
  <si>
    <t>Kode Alternatif</t>
  </si>
  <si>
    <t>Di+</t>
  </si>
  <si>
    <t>Di-</t>
  </si>
  <si>
    <t>Vi</t>
  </si>
  <si>
    <t>Pantai Manggar Segarasari</t>
  </si>
  <si>
    <t>A1</t>
  </si>
  <si>
    <t>SB</t>
  </si>
  <si>
    <t>SL</t>
  </si>
  <si>
    <t>SM</t>
  </si>
  <si>
    <t>B</t>
  </si>
  <si>
    <t>ST</t>
  </si>
  <si>
    <t>SS</t>
  </si>
  <si>
    <t>Pantai Lamaru</t>
  </si>
  <si>
    <t>A2</t>
  </si>
  <si>
    <t>L</t>
  </si>
  <si>
    <t>T</t>
  </si>
  <si>
    <t>Pantai Kemala</t>
  </si>
  <si>
    <t>A3</t>
  </si>
  <si>
    <t>M</t>
  </si>
  <si>
    <t>Pantai Nelayan</t>
  </si>
  <si>
    <t>A4</t>
  </si>
  <si>
    <t>KL</t>
  </si>
  <si>
    <t>KM</t>
  </si>
  <si>
    <t>KB</t>
  </si>
  <si>
    <t>R</t>
  </si>
  <si>
    <t>S</t>
  </si>
  <si>
    <t>Pantai Monpera</t>
  </si>
  <si>
    <t>A5</t>
  </si>
  <si>
    <t>Pasar Sore Manggar</t>
  </si>
  <si>
    <t>A6</t>
  </si>
  <si>
    <t>Pasar Pringgodani</t>
  </si>
  <si>
    <t>A7</t>
  </si>
  <si>
    <t>Pantai BSB</t>
  </si>
  <si>
    <t>A8</t>
  </si>
  <si>
    <t>Pantai Seraya</t>
  </si>
  <si>
    <t>A9</t>
  </si>
  <si>
    <t>KS</t>
  </si>
  <si>
    <t>Pantai Melawai</t>
  </si>
  <si>
    <t>A10</t>
  </si>
  <si>
    <t>Pantai Ambalat</t>
  </si>
  <si>
    <t>A11</t>
  </si>
  <si>
    <t>Wisata Alam, Konservasi &amp; Edukasi</t>
  </si>
  <si>
    <t>Kawasan Wisata Pendidikan Lingkungan Hidup Beruang Madu</t>
  </si>
  <si>
    <t>A12</t>
  </si>
  <si>
    <t>Kebun Raya Balikpapan</t>
  </si>
  <si>
    <t>A13</t>
  </si>
  <si>
    <t>Bukit Kebo</t>
  </si>
  <si>
    <t>A14</t>
  </si>
  <si>
    <t>Bamboe Wanades</t>
  </si>
  <si>
    <t>A15</t>
  </si>
  <si>
    <t>Kawasan Wisata Meranti</t>
  </si>
  <si>
    <t>A16</t>
  </si>
  <si>
    <t>Kawasan WisataMeranti</t>
  </si>
  <si>
    <t>Mangrove Margomulyo</t>
  </si>
  <si>
    <t>A17</t>
  </si>
  <si>
    <t>Waduk Manggar</t>
  </si>
  <si>
    <t>A18</t>
  </si>
  <si>
    <t>Hutan Lindung Sungai Wain</t>
  </si>
  <si>
    <t>A19</t>
  </si>
  <si>
    <t>Mangrove Graha Indah</t>
  </si>
  <si>
    <t>A20</t>
  </si>
  <si>
    <t>Teluk Balikpapan</t>
  </si>
  <si>
    <t>A21</t>
  </si>
  <si>
    <t>Wisata Sejarah, Budaya &amp; Heritage</t>
  </si>
  <si>
    <t>Kawasan Cagar Budaya Sumur Minyak Mathilda</t>
  </si>
  <si>
    <t>A22</t>
  </si>
  <si>
    <t>TL</t>
  </si>
  <si>
    <t>Kampung Warna Warni</t>
  </si>
  <si>
    <t>A23</t>
  </si>
  <si>
    <t>Kampung Atas Air Margasari</t>
  </si>
  <si>
    <t>A24</t>
  </si>
  <si>
    <t>Kampung Wisata Tenun Kampung Baru</t>
  </si>
  <si>
    <t>A25</t>
  </si>
  <si>
    <t>X</t>
  </si>
  <si>
    <t>A+</t>
  </si>
  <si>
    <t>A-</t>
  </si>
  <si>
    <t>Rangking</t>
  </si>
  <si>
    <t>Wisata Balikpapan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</si>
</sst>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1">
    <font>
      <sz val="12.0"/>
      <color theme="1"/>
      <name val="Times New Roman"/>
      <scheme val="minor"/>
    </font>
    <font>
      <sz val="12.0"/>
      <color theme="1"/>
      <name val="Times New Roman"/>
    </font>
    <font>
      <b/>
      <sz val="20.0"/>
      <color theme="1"/>
      <name val="Times New Roman"/>
    </font>
    <font/>
    <font>
      <b/>
      <sz val="16.0"/>
      <color theme="1"/>
      <name val="Times New Roman"/>
    </font>
    <font>
      <sz val="14.0"/>
      <color theme="1"/>
      <name val="Times New Roman"/>
    </font>
    <font>
      <i/>
      <sz val="14.0"/>
      <color theme="1"/>
      <name val="Times New Roman"/>
    </font>
    <font>
      <color theme="1"/>
      <name val="Times New Roman"/>
      <scheme val="minor"/>
    </font>
    <font>
      <b/>
      <sz val="12.0"/>
      <color theme="1"/>
      <name val="Times New Roman"/>
    </font>
    <font>
      <color rgb="FF000000"/>
      <name val="Times New Roman"/>
      <scheme val="minor"/>
    </font>
    <font>
      <b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AEABAB"/>
        <bgColor rgb="FFAEABAB"/>
      </patternFill>
    </fill>
    <fill>
      <patternFill patternType="solid">
        <fgColor rgb="FFC189F7"/>
        <bgColor rgb="FFC189F7"/>
      </patternFill>
    </fill>
    <fill>
      <patternFill patternType="solid">
        <fgColor rgb="FFFFC6C6"/>
        <bgColor rgb="FFFFC6C6"/>
      </patternFill>
    </fill>
    <fill>
      <patternFill patternType="solid">
        <fgColor rgb="FF7CEB99"/>
        <bgColor rgb="FF7CEB99"/>
      </patternFill>
    </fill>
    <fill>
      <patternFill patternType="solid">
        <fgColor rgb="FF4A86E8"/>
        <bgColor rgb="FF4A86E8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2" xfId="0" applyAlignment="1" applyBorder="1" applyFont="1" applyNumberForma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4" fillId="5" fontId="1" numFmtId="2" xfId="0" applyAlignment="1" applyBorder="1" applyFont="1" applyNumberForma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6" fontId="1" numFmtId="2" xfId="0" applyAlignment="1" applyBorder="1" applyFont="1" applyNumberFormat="1">
      <alignment horizontal="center" shrinkToFit="0" vertical="center" wrapText="1"/>
    </xf>
    <xf borderId="4" fillId="7" fontId="1" numFmtId="0" xfId="0" applyAlignment="1" applyBorder="1" applyFont="1">
      <alignment horizontal="center" shrinkToFit="0" vertical="center" wrapText="1"/>
    </xf>
    <xf borderId="4" fillId="7" fontId="1" numFmtId="2" xfId="0" applyAlignment="1" applyBorder="1" applyFont="1" applyNumberForma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4" fillId="8" fontId="1" numFmtId="2" xfId="0" applyAlignment="1" applyBorder="1" applyFont="1" applyNumberFormat="1">
      <alignment horizontal="center" shrinkToFit="0" vertical="center" wrapText="1"/>
    </xf>
    <xf borderId="4" fillId="9" fontId="1" numFmtId="0" xfId="0" applyAlignment="1" applyBorder="1" applyFont="1">
      <alignment horizontal="center" readingOrder="0" shrinkToFit="0" vertical="center" wrapText="1"/>
    </xf>
    <xf borderId="4" fillId="9" fontId="1" numFmtId="2" xfId="0" applyAlignment="1" applyBorder="1" applyFont="1" applyNumberFormat="1">
      <alignment horizontal="center" shrinkToFit="0" vertical="center" wrapText="1"/>
    </xf>
    <xf borderId="4" fillId="10" fontId="1" numFmtId="0" xfId="0" applyAlignment="1" applyBorder="1" applyFont="1">
      <alignment horizontal="center" shrinkToFit="0" vertical="center" wrapText="1"/>
    </xf>
    <xf borderId="4" fillId="10" fontId="1" numFmtId="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4" fillId="4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 vertical="center"/>
    </xf>
    <xf borderId="4" fillId="4" fontId="1" numFmtId="2" xfId="0" applyAlignment="1" applyBorder="1" applyFont="1" applyNumberFormat="1">
      <alignment horizontal="center" vertical="center"/>
    </xf>
    <xf borderId="4" fillId="5" fontId="1" numFmtId="2" xfId="0" applyAlignment="1" applyBorder="1" applyFont="1" applyNumberFormat="1">
      <alignment horizontal="center" vertical="center"/>
    </xf>
    <xf borderId="4" fillId="6" fontId="1" numFmtId="2" xfId="0" applyAlignment="1" applyBorder="1" applyFont="1" applyNumberFormat="1">
      <alignment horizontal="center" vertical="center"/>
    </xf>
    <xf borderId="4" fillId="7" fontId="1" numFmtId="2" xfId="0" applyAlignment="1" applyBorder="1" applyFont="1" applyNumberFormat="1">
      <alignment horizontal="center" vertical="center"/>
    </xf>
    <xf borderId="4" fillId="8" fontId="1" numFmtId="2" xfId="0" applyAlignment="1" applyBorder="1" applyFont="1" applyNumberFormat="1">
      <alignment horizontal="center" vertical="center"/>
    </xf>
    <xf borderId="4" fillId="9" fontId="1" numFmtId="2" xfId="0" applyAlignment="1" applyBorder="1" applyFont="1" applyNumberFormat="1">
      <alignment horizontal="center" vertical="center"/>
    </xf>
    <xf borderId="4" fillId="10" fontId="1" numFmtId="2" xfId="0" applyAlignment="1" applyBorder="1" applyFont="1" applyNumberFormat="1">
      <alignment horizontal="center" vertical="center"/>
    </xf>
    <xf borderId="4" fillId="4" fontId="1" numFmtId="164" xfId="0" applyAlignment="1" applyBorder="1" applyFont="1" applyNumberFormat="1">
      <alignment horizontal="center" vertical="center"/>
    </xf>
    <xf borderId="4" fillId="0" fontId="1" numFmtId="2" xfId="0" applyBorder="1" applyFont="1" applyNumberFormat="1"/>
    <xf borderId="4" fillId="0" fontId="1" numFmtId="2" xfId="0" applyBorder="1" applyFont="1" applyNumberFormat="1"/>
    <xf borderId="4" fillId="4" fontId="1" numFmtId="2" xfId="0" applyAlignment="1" applyBorder="1" applyFont="1" applyNumberFormat="1">
      <alignment horizontal="center"/>
    </xf>
    <xf borderId="4" fillId="5" fontId="1" numFmtId="2" xfId="0" applyAlignment="1" applyBorder="1" applyFont="1" applyNumberFormat="1">
      <alignment horizontal="center"/>
    </xf>
    <xf borderId="4" fillId="6" fontId="1" numFmtId="2" xfId="0" applyAlignment="1" applyBorder="1" applyFont="1" applyNumberFormat="1">
      <alignment horizontal="center"/>
    </xf>
    <xf borderId="4" fillId="7" fontId="1" numFmtId="2" xfId="0" applyAlignment="1" applyBorder="1" applyFont="1" applyNumberFormat="1">
      <alignment horizontal="center"/>
    </xf>
    <xf borderId="4" fillId="8" fontId="1" numFmtId="2" xfId="0" applyAlignment="1" applyBorder="1" applyFont="1" applyNumberFormat="1">
      <alignment horizontal="center"/>
    </xf>
    <xf borderId="4" fillId="9" fontId="1" numFmtId="2" xfId="0" applyAlignment="1" applyBorder="1" applyFont="1" applyNumberFormat="1">
      <alignment horizontal="center"/>
    </xf>
    <xf borderId="4" fillId="10" fontId="1" numFmtId="2" xfId="0" applyAlignment="1" applyBorder="1" applyFont="1" applyNumberFormat="1">
      <alignment horizontal="center"/>
    </xf>
    <xf borderId="4" fillId="5" fontId="1" numFmtId="164" xfId="0" applyAlignment="1" applyBorder="1" applyFont="1" applyNumberFormat="1">
      <alignment horizontal="center" vertical="center"/>
    </xf>
    <xf borderId="4" fillId="6" fontId="1" numFmtId="164" xfId="0" applyAlignment="1" applyBorder="1" applyFont="1" applyNumberFormat="1">
      <alignment horizontal="center" vertical="center"/>
    </xf>
    <xf borderId="4" fillId="7" fontId="1" numFmtId="164" xfId="0" applyAlignment="1" applyBorder="1" applyFont="1" applyNumberFormat="1">
      <alignment horizontal="center" vertical="center"/>
    </xf>
    <xf borderId="4" fillId="8" fontId="1" numFmtId="164" xfId="0" applyAlignment="1" applyBorder="1" applyFont="1" applyNumberFormat="1">
      <alignment horizontal="center" vertical="center"/>
    </xf>
    <xf borderId="4" fillId="9" fontId="1" numFmtId="164" xfId="0" applyAlignment="1" applyBorder="1" applyFont="1" applyNumberFormat="1">
      <alignment horizontal="center" vertical="center"/>
    </xf>
    <xf borderId="4" fillId="10" fontId="1" numFmtId="164" xfId="0" applyAlignment="1" applyBorder="1" applyFont="1" applyNumberFormat="1">
      <alignment horizontal="center" vertical="center"/>
    </xf>
    <xf borderId="4" fillId="4" fontId="1" numFmtId="2" xfId="0" applyBorder="1" applyFont="1" applyNumberFormat="1"/>
    <xf borderId="4" fillId="5" fontId="1" numFmtId="2" xfId="0" applyBorder="1" applyFont="1" applyNumberFormat="1"/>
    <xf borderId="4" fillId="6" fontId="1" numFmtId="2" xfId="0" applyBorder="1" applyFont="1" applyNumberFormat="1"/>
    <xf borderId="4" fillId="7" fontId="1" numFmtId="2" xfId="0" applyBorder="1" applyFont="1" applyNumberFormat="1"/>
    <xf borderId="4" fillId="8" fontId="1" numFmtId="2" xfId="0" applyBorder="1" applyFont="1" applyNumberFormat="1"/>
    <xf borderId="4" fillId="9" fontId="1" numFmtId="2" xfId="0" applyBorder="1" applyFont="1" applyNumberFormat="1"/>
    <xf borderId="4" fillId="10" fontId="1" numFmtId="2" xfId="0" applyBorder="1" applyFont="1" applyNumberFormat="1"/>
    <xf borderId="4" fillId="0" fontId="1" numFmtId="164" xfId="0" applyBorder="1" applyFont="1" applyNumberFormat="1"/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1" numFmtId="0" xfId="0" applyAlignment="1" applyFont="1">
      <alignment vertical="top"/>
    </xf>
    <xf borderId="6" fillId="0" fontId="3" numFmtId="0" xfId="0" applyBorder="1" applyFont="1"/>
    <xf borderId="7" fillId="0" fontId="3" numFmtId="0" xfId="0" applyBorder="1" applyFont="1"/>
    <xf borderId="4" fillId="0" fontId="1" numFmtId="0" xfId="0" applyAlignment="1" applyBorder="1" applyFont="1">
      <alignment vertical="top"/>
    </xf>
    <xf borderId="4" fillId="0" fontId="1" numFmtId="2" xfId="0" applyAlignment="1" applyBorder="1" applyFont="1" applyNumberForma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9" fillId="0" fontId="3" numFmtId="0" xfId="0" applyBorder="1" applyFont="1"/>
    <xf borderId="5" fillId="0" fontId="8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8" fillId="11" fontId="8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0" fillId="0" fontId="8" numFmtId="0" xfId="0" applyAlignment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1" fillId="11" fontId="8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vertical="center"/>
    </xf>
    <xf borderId="5" fillId="5" fontId="8" numFmtId="0" xfId="0" applyAlignment="1" applyBorder="1" applyFont="1">
      <alignment horizontal="center" vertical="center"/>
    </xf>
    <xf borderId="5" fillId="6" fontId="8" numFmtId="0" xfId="0" applyAlignment="1" applyBorder="1" applyFont="1">
      <alignment horizontal="center" vertical="center"/>
    </xf>
    <xf borderId="5" fillId="7" fontId="8" numFmtId="0" xfId="0" applyAlignment="1" applyBorder="1" applyFont="1">
      <alignment horizontal="center" vertical="center"/>
    </xf>
    <xf borderId="5" fillId="8" fontId="8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 vertical="center"/>
    </xf>
    <xf borderId="5" fillId="1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4" fillId="4" fontId="8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8" fontId="8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4" fillId="10" fontId="8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4" fontId="1" numFmtId="2" xfId="0" applyAlignment="1" applyBorder="1" applyFont="1" applyNumberFormat="1">
      <alignment horizontal="center" readingOrder="0" vertical="center"/>
    </xf>
    <xf borderId="4" fillId="5" fontId="1" numFmtId="2" xfId="0" applyAlignment="1" applyBorder="1" applyFont="1" applyNumberFormat="1">
      <alignment horizontal="center" readingOrder="0" vertical="center"/>
    </xf>
    <xf borderId="4" fillId="6" fontId="1" numFmtId="2" xfId="0" applyAlignment="1" applyBorder="1" applyFont="1" applyNumberFormat="1">
      <alignment horizontal="center" readingOrder="0" vertical="center"/>
    </xf>
    <xf borderId="4" fillId="7" fontId="1" numFmtId="2" xfId="0" applyAlignment="1" applyBorder="1" applyFont="1" applyNumberFormat="1">
      <alignment horizontal="center" readingOrder="0" vertical="center"/>
    </xf>
    <xf borderId="4" fillId="8" fontId="1" numFmtId="2" xfId="0" applyAlignment="1" applyBorder="1" applyFont="1" applyNumberFormat="1">
      <alignment horizontal="center" readingOrder="0" vertical="center"/>
    </xf>
    <xf borderId="4" fillId="9" fontId="1" numFmtId="2" xfId="0" applyAlignment="1" applyBorder="1" applyFont="1" applyNumberFormat="1">
      <alignment horizontal="center" readingOrder="0" vertical="center"/>
    </xf>
    <xf borderId="4" fillId="10" fontId="1" numFmtId="2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4" fontId="1" numFmtId="2" xfId="0" applyAlignment="1" applyBorder="1" applyFont="1" applyNumberFormat="1">
      <alignment readingOrder="0" vertical="center"/>
    </xf>
    <xf borderId="4" fillId="5" fontId="1" numFmtId="2" xfId="0" applyAlignment="1" applyBorder="1" applyFont="1" applyNumberFormat="1">
      <alignment readingOrder="0" vertical="center"/>
    </xf>
    <xf borderId="4" fillId="6" fontId="1" numFmtId="2" xfId="0" applyAlignment="1" applyBorder="1" applyFont="1" applyNumberFormat="1">
      <alignment readingOrder="0" vertical="center"/>
    </xf>
    <xf borderId="4" fillId="7" fontId="1" numFmtId="2" xfId="0" applyAlignment="1" applyBorder="1" applyFont="1" applyNumberFormat="1">
      <alignment readingOrder="0" vertical="center"/>
    </xf>
    <xf borderId="4" fillId="8" fontId="1" numFmtId="2" xfId="0" applyAlignment="1" applyBorder="1" applyFont="1" applyNumberFormat="1">
      <alignment readingOrder="0" vertical="center"/>
    </xf>
    <xf borderId="4" fillId="9" fontId="1" numFmtId="2" xfId="0" applyAlignment="1" applyBorder="1" applyFont="1" applyNumberFormat="1">
      <alignment readingOrder="0" vertical="center"/>
    </xf>
    <xf borderId="4" fillId="10" fontId="1" numFmtId="2" xfId="0" applyAlignment="1" applyBorder="1" applyFont="1" applyNumberFormat="1">
      <alignment readingOrder="0" vertical="center"/>
    </xf>
    <xf borderId="4" fillId="4" fontId="1" numFmtId="164" xfId="0" applyAlignment="1" applyBorder="1" applyFont="1" applyNumberFormat="1">
      <alignment vertical="center"/>
    </xf>
    <xf borderId="4" fillId="5" fontId="1" numFmtId="164" xfId="0" applyAlignment="1" applyBorder="1" applyFont="1" applyNumberFormat="1">
      <alignment vertical="center"/>
    </xf>
    <xf borderId="4" fillId="6" fontId="1" numFmtId="164" xfId="0" applyAlignment="1" applyBorder="1" applyFont="1" applyNumberFormat="1">
      <alignment vertical="center"/>
    </xf>
    <xf borderId="4" fillId="7" fontId="1" numFmtId="164" xfId="0" applyAlignment="1" applyBorder="1" applyFont="1" applyNumberFormat="1">
      <alignment vertical="center"/>
    </xf>
    <xf borderId="4" fillId="8" fontId="1" numFmtId="164" xfId="0" applyAlignment="1" applyBorder="1" applyFont="1" applyNumberFormat="1">
      <alignment vertical="center"/>
    </xf>
    <xf borderId="4" fillId="9" fontId="1" numFmtId="164" xfId="0" applyAlignment="1" applyBorder="1" applyFont="1" applyNumberFormat="1">
      <alignment vertical="center"/>
    </xf>
    <xf borderId="4" fillId="10" fontId="1" numFmtId="16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4" fillId="4" fontId="1" numFmtId="164" xfId="0" applyAlignment="1" applyBorder="1" applyFont="1" applyNumberFormat="1">
      <alignment vertical="center"/>
    </xf>
    <xf borderId="4" fillId="5" fontId="1" numFmtId="164" xfId="0" applyAlignment="1" applyBorder="1" applyFont="1" applyNumberFormat="1">
      <alignment vertical="center"/>
    </xf>
    <xf borderId="4" fillId="6" fontId="1" numFmtId="164" xfId="0" applyAlignment="1" applyBorder="1" applyFont="1" applyNumberFormat="1">
      <alignment vertical="center"/>
    </xf>
    <xf borderId="4" fillId="7" fontId="1" numFmtId="164" xfId="0" applyAlignment="1" applyBorder="1" applyFont="1" applyNumberFormat="1">
      <alignment vertical="center"/>
    </xf>
    <xf borderId="4" fillId="8" fontId="1" numFmtId="164" xfId="0" applyAlignment="1" applyBorder="1" applyFont="1" applyNumberFormat="1">
      <alignment vertical="center"/>
    </xf>
    <xf borderId="4" fillId="9" fontId="1" numFmtId="164" xfId="0" applyAlignment="1" applyBorder="1" applyFont="1" applyNumberFormat="1">
      <alignment vertical="center"/>
    </xf>
    <xf borderId="4" fillId="10" fontId="1" numFmtId="164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horizontal="right" vertical="center"/>
    </xf>
    <xf borderId="4" fillId="0" fontId="1" numFmtId="164" xfId="0" applyAlignment="1" applyBorder="1" applyFont="1" applyNumberFormat="1">
      <alignment shrinkToFit="0" vertical="center" wrapText="1"/>
    </xf>
    <xf borderId="0" fillId="0" fontId="7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7" numFmtId="1" xfId="0" applyFont="1" applyNumberForma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6" fontId="1" numFmtId="2" xfId="0" applyAlignment="1" applyBorder="1" applyFont="1" applyNumberFormat="1">
      <alignment vertical="center"/>
    </xf>
    <xf borderId="4" fillId="8" fontId="1" numFmtId="2" xfId="0" applyAlignment="1" applyBorder="1" applyFont="1" applyNumberFormat="1">
      <alignment vertical="center"/>
    </xf>
    <xf borderId="4" fillId="9" fontId="1" numFmtId="2" xfId="0" applyAlignment="1" applyBorder="1" applyFont="1" applyNumberFormat="1">
      <alignment vertical="center"/>
    </xf>
    <xf borderId="4" fillId="7" fontId="1" numFmtId="2" xfId="0" applyAlignment="1" applyBorder="1" applyFont="1" applyNumberFormat="1">
      <alignment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4" fontId="1" numFmtId="2" xfId="0" applyAlignment="1" applyBorder="1" applyFont="1" applyNumberFormat="1">
      <alignment horizontal="center" readingOrder="0" vertical="center"/>
    </xf>
    <xf borderId="5" fillId="8" fontId="1" numFmtId="2" xfId="0" applyAlignment="1" applyBorder="1" applyFont="1" applyNumberFormat="1">
      <alignment horizontal="center" readingOrder="0" vertical="center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2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4" fillId="4" fontId="1" numFmtId="2" xfId="0" applyAlignment="1" applyBorder="1" applyFont="1" applyNumberFormat="1">
      <alignment vertical="center"/>
    </xf>
    <xf borderId="4" fillId="5" fontId="1" numFmtId="2" xfId="0" applyAlignment="1" applyBorder="1" applyFont="1" applyNumberFormat="1">
      <alignment vertical="center"/>
    </xf>
    <xf borderId="4" fillId="10" fontId="1" numFmtId="2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7" numFmtId="0" xfId="0" applyAlignment="1" applyFont="1">
      <alignment readingOrder="0" vertical="center"/>
    </xf>
    <xf borderId="0" fillId="0" fontId="7" numFmtId="164" xfId="0" applyAlignment="1" applyFont="1" applyNumberForma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right" vertical="center"/>
    </xf>
    <xf borderId="0" fillId="0" fontId="8" numFmtId="0" xfId="0" applyAlignment="1" applyFont="1">
      <alignment shrinkToFit="0" vertical="center" wrapText="1"/>
    </xf>
    <xf borderId="5" fillId="0" fontId="10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4" fillId="0" fontId="7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857250</xdr:colOff>
      <xdr:row>18</xdr:row>
      <xdr:rowOff>38100</xdr:rowOff>
    </xdr:from>
    <xdr:ext cx="180975" cy="323850"/>
    <xdr:sp>
      <xdr:nvSpPr>
        <xdr:cNvPr id="3" name="Shape 3"/>
        <xdr:cNvSpPr txBox="1"/>
      </xdr:nvSpPr>
      <xdr:spPr>
        <a:xfrm>
          <a:off x="5256328" y="3621559"/>
          <a:ext cx="179344" cy="31688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15</xdr:row>
      <xdr:rowOff>0</xdr:rowOff>
    </xdr:from>
    <xdr:ext cx="506730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7.56"/>
    <col customWidth="1" min="3" max="3" width="20.56"/>
    <col customWidth="1" min="4" max="5" width="7.56"/>
    <col customWidth="1" min="6" max="6" width="20.56"/>
    <col customWidth="1" min="7" max="8" width="7.56"/>
    <col customWidth="1" min="9" max="9" width="20.56"/>
    <col customWidth="1" min="10" max="11" width="7.56"/>
    <col customWidth="1" min="12" max="12" width="20.56"/>
    <col customWidth="1" min="13" max="14" width="7.56"/>
    <col customWidth="1" min="15" max="15" width="20.56"/>
    <col customWidth="1" min="16" max="17" width="7.56"/>
    <col customWidth="1" min="18" max="18" width="20.56"/>
    <col customWidth="1" min="19" max="20" width="7.56"/>
    <col customWidth="1" min="21" max="21" width="20.56"/>
    <col customWidth="1" min="22" max="22" width="7.56"/>
    <col customWidth="1" min="23" max="26" width="8.56"/>
  </cols>
  <sheetData>
    <row r="1" ht="5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1"/>
      <c r="X2" s="1"/>
      <c r="Y2" s="1"/>
      <c r="Z2" s="1"/>
    </row>
    <row r="3">
      <c r="A3" s="1"/>
      <c r="B3" s="5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1"/>
      <c r="X3" s="1"/>
      <c r="Y3" s="1"/>
      <c r="Z3" s="1"/>
    </row>
    <row r="4">
      <c r="A4" s="1"/>
      <c r="B4" s="6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1"/>
      <c r="X4" s="1"/>
      <c r="Y4" s="1"/>
      <c r="Z4" s="1"/>
    </row>
    <row r="5">
      <c r="A5" s="1"/>
      <c r="B5" s="5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1"/>
      <c r="X5" s="1"/>
      <c r="Y5" s="1"/>
      <c r="Z5" s="1"/>
    </row>
    <row r="6">
      <c r="A6" s="1"/>
      <c r="B6" s="7" t="s">
        <v>4</v>
      </c>
      <c r="C6" s="3"/>
      <c r="D6" s="4"/>
      <c r="E6" s="8" t="s">
        <v>5</v>
      </c>
      <c r="F6" s="3"/>
      <c r="G6" s="4"/>
      <c r="H6" s="9" t="s">
        <v>6</v>
      </c>
      <c r="I6" s="3"/>
      <c r="J6" s="4"/>
      <c r="K6" s="10" t="s">
        <v>7</v>
      </c>
      <c r="L6" s="3"/>
      <c r="M6" s="4"/>
      <c r="N6" s="11" t="s">
        <v>8</v>
      </c>
      <c r="O6" s="3"/>
      <c r="P6" s="4"/>
      <c r="Q6" s="12" t="s">
        <v>9</v>
      </c>
      <c r="R6" s="3"/>
      <c r="S6" s="4"/>
      <c r="T6" s="13" t="s">
        <v>10</v>
      </c>
      <c r="U6" s="3"/>
      <c r="V6" s="4"/>
      <c r="W6" s="1"/>
      <c r="X6" s="1"/>
      <c r="Y6" s="1"/>
      <c r="Z6" s="1"/>
    </row>
    <row r="7">
      <c r="A7" s="1"/>
      <c r="B7" s="14" t="s">
        <v>11</v>
      </c>
      <c r="C7" s="3"/>
      <c r="D7" s="4"/>
      <c r="E7" s="15" t="s">
        <v>11</v>
      </c>
      <c r="F7" s="3"/>
      <c r="G7" s="4"/>
      <c r="H7" s="16" t="s">
        <v>11</v>
      </c>
      <c r="I7" s="3"/>
      <c r="J7" s="4"/>
      <c r="K7" s="17" t="s">
        <v>11</v>
      </c>
      <c r="L7" s="3"/>
      <c r="M7" s="4"/>
      <c r="N7" s="18" t="s">
        <v>11</v>
      </c>
      <c r="O7" s="3"/>
      <c r="P7" s="4"/>
      <c r="Q7" s="19" t="s">
        <v>11</v>
      </c>
      <c r="R7" s="3"/>
      <c r="S7" s="4"/>
      <c r="T7" s="20" t="s">
        <v>11</v>
      </c>
      <c r="U7" s="3"/>
      <c r="V7" s="4"/>
      <c r="W7" s="1"/>
      <c r="X7" s="1"/>
      <c r="Y7" s="1"/>
      <c r="Z7" s="1"/>
    </row>
    <row r="8">
      <c r="A8" s="1"/>
      <c r="B8" s="5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  <c r="X8" s="1"/>
      <c r="Y8" s="1"/>
      <c r="Z8" s="1"/>
    </row>
    <row r="9">
      <c r="A9" s="1"/>
      <c r="B9" s="21" t="s">
        <v>13</v>
      </c>
      <c r="C9" s="21" t="s">
        <v>14</v>
      </c>
      <c r="D9" s="22">
        <v>4.0</v>
      </c>
      <c r="E9" s="23" t="s">
        <v>15</v>
      </c>
      <c r="F9" s="23" t="s">
        <v>16</v>
      </c>
      <c r="G9" s="24">
        <v>4.0</v>
      </c>
      <c r="H9" s="25" t="s">
        <v>17</v>
      </c>
      <c r="I9" s="25" t="s">
        <v>18</v>
      </c>
      <c r="J9" s="26">
        <v>4.0</v>
      </c>
      <c r="K9" s="27" t="s">
        <v>13</v>
      </c>
      <c r="L9" s="27" t="s">
        <v>19</v>
      </c>
      <c r="M9" s="28">
        <v>4.0</v>
      </c>
      <c r="N9" s="29" t="s">
        <v>20</v>
      </c>
      <c r="O9" s="29" t="s">
        <v>21</v>
      </c>
      <c r="P9" s="30">
        <v>4.0</v>
      </c>
      <c r="Q9" s="31" t="s">
        <v>13</v>
      </c>
      <c r="R9" s="31" t="s">
        <v>22</v>
      </c>
      <c r="S9" s="32">
        <v>4.0</v>
      </c>
      <c r="T9" s="33" t="s">
        <v>23</v>
      </c>
      <c r="U9" s="33" t="s">
        <v>24</v>
      </c>
      <c r="V9" s="34">
        <v>4.0</v>
      </c>
      <c r="W9" s="1"/>
      <c r="X9" s="1"/>
      <c r="Y9" s="1"/>
      <c r="Z9" s="1"/>
    </row>
    <row r="10">
      <c r="A10" s="1"/>
      <c r="B10" s="21" t="s">
        <v>25</v>
      </c>
      <c r="C10" s="21" t="s">
        <v>26</v>
      </c>
      <c r="D10" s="22">
        <v>3.0</v>
      </c>
      <c r="E10" s="23" t="s">
        <v>27</v>
      </c>
      <c r="F10" s="23" t="s">
        <v>28</v>
      </c>
      <c r="G10" s="24">
        <v>3.0</v>
      </c>
      <c r="H10" s="25" t="s">
        <v>29</v>
      </c>
      <c r="I10" s="25" t="s">
        <v>30</v>
      </c>
      <c r="J10" s="26">
        <v>3.0</v>
      </c>
      <c r="K10" s="27" t="s">
        <v>25</v>
      </c>
      <c r="L10" s="27" t="s">
        <v>31</v>
      </c>
      <c r="M10" s="28">
        <v>3.0</v>
      </c>
      <c r="N10" s="29" t="s">
        <v>32</v>
      </c>
      <c r="O10" s="29" t="s">
        <v>33</v>
      </c>
      <c r="P10" s="30">
        <v>3.0</v>
      </c>
      <c r="Q10" s="31" t="s">
        <v>25</v>
      </c>
      <c r="R10" s="31" t="s">
        <v>34</v>
      </c>
      <c r="S10" s="32">
        <v>3.0</v>
      </c>
      <c r="T10" s="33" t="s">
        <v>35</v>
      </c>
      <c r="U10" s="33" t="s">
        <v>36</v>
      </c>
      <c r="V10" s="34">
        <v>3.0</v>
      </c>
      <c r="W10" s="1"/>
      <c r="X10" s="1"/>
      <c r="Y10" s="1"/>
      <c r="Z10" s="1"/>
    </row>
    <row r="11">
      <c r="A11" s="1"/>
      <c r="B11" s="21" t="s">
        <v>37</v>
      </c>
      <c r="C11" s="21" t="s">
        <v>38</v>
      </c>
      <c r="D11" s="22">
        <v>2.0</v>
      </c>
      <c r="E11" s="23" t="s">
        <v>39</v>
      </c>
      <c r="F11" s="23" t="s">
        <v>40</v>
      </c>
      <c r="G11" s="24">
        <v>2.0</v>
      </c>
      <c r="H11" s="25" t="s">
        <v>41</v>
      </c>
      <c r="I11" s="25" t="s">
        <v>42</v>
      </c>
      <c r="J11" s="26">
        <v>2.0</v>
      </c>
      <c r="K11" s="27" t="s">
        <v>37</v>
      </c>
      <c r="L11" s="27" t="s">
        <v>43</v>
      </c>
      <c r="M11" s="28">
        <v>2.0</v>
      </c>
      <c r="N11" s="29" t="s">
        <v>44</v>
      </c>
      <c r="O11" s="29" t="s">
        <v>45</v>
      </c>
      <c r="P11" s="30">
        <v>2.0</v>
      </c>
      <c r="Q11" s="31" t="s">
        <v>37</v>
      </c>
      <c r="R11" s="31" t="s">
        <v>46</v>
      </c>
      <c r="S11" s="32">
        <v>2.0</v>
      </c>
      <c r="T11" s="33" t="s">
        <v>47</v>
      </c>
      <c r="U11" s="33" t="s">
        <v>48</v>
      </c>
      <c r="V11" s="34">
        <v>2.0</v>
      </c>
      <c r="W11" s="1"/>
      <c r="X11" s="1"/>
      <c r="Y11" s="1"/>
      <c r="Z11" s="1"/>
    </row>
    <row r="12">
      <c r="A12" s="1"/>
      <c r="B12" s="21" t="s">
        <v>49</v>
      </c>
      <c r="C12" s="21" t="s">
        <v>50</v>
      </c>
      <c r="D12" s="22">
        <v>1.0</v>
      </c>
      <c r="E12" s="23" t="s">
        <v>51</v>
      </c>
      <c r="F12" s="23" t="s">
        <v>52</v>
      </c>
      <c r="G12" s="24">
        <v>1.0</v>
      </c>
      <c r="H12" s="25" t="s">
        <v>53</v>
      </c>
      <c r="I12" s="25" t="s">
        <v>54</v>
      </c>
      <c r="J12" s="26">
        <v>1.0</v>
      </c>
      <c r="K12" s="27" t="s">
        <v>49</v>
      </c>
      <c r="L12" s="27" t="s">
        <v>55</v>
      </c>
      <c r="M12" s="28">
        <v>1.0</v>
      </c>
      <c r="N12" s="29" t="s">
        <v>56</v>
      </c>
      <c r="O12" s="29" t="s">
        <v>57</v>
      </c>
      <c r="P12" s="30">
        <v>1.0</v>
      </c>
      <c r="Q12" s="31" t="s">
        <v>49</v>
      </c>
      <c r="R12" s="31" t="s">
        <v>58</v>
      </c>
      <c r="S12" s="32">
        <v>1.0</v>
      </c>
      <c r="T12" s="33" t="s">
        <v>59</v>
      </c>
      <c r="U12" s="33" t="s">
        <v>60</v>
      </c>
      <c r="V12" s="34">
        <v>1.0</v>
      </c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9"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B8:V8"/>
    <mergeCell ref="B2:V2"/>
    <mergeCell ref="B3:V3"/>
    <mergeCell ref="B4:V4"/>
    <mergeCell ref="B5:V5"/>
    <mergeCell ref="B6:D6"/>
    <mergeCell ref="E6:G6"/>
    <mergeCell ref="H6:J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8" width="5.56"/>
    <col customWidth="1" min="9" max="9" width="8.56"/>
    <col customWidth="1" min="10" max="10" width="16.78"/>
    <col customWidth="1" min="11" max="17" width="5.56"/>
    <col customWidth="1" min="18" max="18" width="15.22"/>
    <col customWidth="1" min="19" max="19" width="8.67"/>
    <col customWidth="1" min="20" max="20" width="16.0"/>
    <col customWidth="1" min="21" max="23" width="5.56"/>
    <col customWidth="1" min="24" max="24" width="6.89"/>
    <col customWidth="1" min="25" max="25" width="5.56"/>
    <col customWidth="1" min="26" max="26" width="7.33"/>
    <col customWidth="1" min="27" max="27" width="5.56"/>
    <col customWidth="1" min="28" max="28" width="7.44"/>
    <col customWidth="1" min="29" max="29" width="5.89"/>
    <col customWidth="1" min="30" max="32" width="8.56"/>
  </cols>
  <sheetData>
    <row r="1"/>
    <row r="2">
      <c r="A2" s="35" t="s">
        <v>61</v>
      </c>
      <c r="B2" s="3"/>
      <c r="C2" s="3"/>
      <c r="D2" s="3"/>
      <c r="E2" s="3"/>
      <c r="F2" s="3"/>
      <c r="G2" s="3"/>
      <c r="H2" s="4"/>
      <c r="J2" s="35" t="s">
        <v>62</v>
      </c>
      <c r="K2" s="3"/>
      <c r="L2" s="3"/>
      <c r="M2" s="3"/>
      <c r="N2" s="3"/>
      <c r="O2" s="3"/>
      <c r="P2" s="3"/>
      <c r="Q2" s="4"/>
      <c r="R2" s="36" t="s">
        <v>63</v>
      </c>
      <c r="T2" s="35" t="s">
        <v>64</v>
      </c>
      <c r="U2" s="3"/>
      <c r="V2" s="3"/>
      <c r="W2" s="3"/>
      <c r="X2" s="3"/>
      <c r="Y2" s="3"/>
      <c r="Z2" s="3"/>
      <c r="AA2" s="4"/>
      <c r="AB2" s="37"/>
      <c r="AC2" s="38"/>
    </row>
    <row r="3">
      <c r="A3" s="36" t="s">
        <v>3</v>
      </c>
      <c r="B3" s="39" t="s">
        <v>65</v>
      </c>
      <c r="C3" s="40" t="s">
        <v>66</v>
      </c>
      <c r="D3" s="41" t="s">
        <v>67</v>
      </c>
      <c r="E3" s="42" t="s">
        <v>68</v>
      </c>
      <c r="F3" s="43" t="s">
        <v>69</v>
      </c>
      <c r="G3" s="44" t="s">
        <v>70</v>
      </c>
      <c r="H3" s="45" t="s">
        <v>71</v>
      </c>
      <c r="J3" s="36" t="s">
        <v>3</v>
      </c>
      <c r="K3" s="39" t="s">
        <v>65</v>
      </c>
      <c r="L3" s="40" t="s">
        <v>66</v>
      </c>
      <c r="M3" s="41" t="s">
        <v>67</v>
      </c>
      <c r="N3" s="42" t="s">
        <v>68</v>
      </c>
      <c r="O3" s="43" t="s">
        <v>69</v>
      </c>
      <c r="P3" s="44" t="s">
        <v>70</v>
      </c>
      <c r="Q3" s="45" t="s">
        <v>71</v>
      </c>
      <c r="R3" s="36" t="s">
        <v>72</v>
      </c>
      <c r="T3" s="36" t="s">
        <v>3</v>
      </c>
      <c r="U3" s="39" t="s">
        <v>65</v>
      </c>
      <c r="V3" s="40" t="s">
        <v>66</v>
      </c>
      <c r="W3" s="41" t="s">
        <v>67</v>
      </c>
      <c r="X3" s="42" t="s">
        <v>68</v>
      </c>
      <c r="Y3" s="43" t="s">
        <v>69</v>
      </c>
      <c r="Z3" s="44" t="s">
        <v>70</v>
      </c>
      <c r="AA3" s="45" t="s">
        <v>71</v>
      </c>
      <c r="AB3" s="36" t="s">
        <v>73</v>
      </c>
      <c r="AC3" s="36" t="s">
        <v>74</v>
      </c>
    </row>
    <row r="4">
      <c r="A4" s="38" t="s">
        <v>4</v>
      </c>
      <c r="B4" s="46">
        <v>1.0</v>
      </c>
      <c r="C4" s="47">
        <v>2.0</v>
      </c>
      <c r="D4" s="48">
        <v>3.0</v>
      </c>
      <c r="E4" s="49">
        <v>4.0</v>
      </c>
      <c r="F4" s="50">
        <v>2.0</v>
      </c>
      <c r="G4" s="51">
        <v>5.0</v>
      </c>
      <c r="H4" s="52">
        <v>0.5</v>
      </c>
      <c r="J4" s="38" t="s">
        <v>4</v>
      </c>
      <c r="K4" s="46">
        <f t="shared" ref="K4:Q4" si="1">B4/B11</f>
        <v>0.2092050209</v>
      </c>
      <c r="L4" s="47">
        <f t="shared" si="1"/>
        <v>0.2638522427</v>
      </c>
      <c r="M4" s="48">
        <f t="shared" si="1"/>
        <v>0.233826968</v>
      </c>
      <c r="N4" s="49">
        <f t="shared" si="1"/>
        <v>0.2285714286</v>
      </c>
      <c r="O4" s="50">
        <f t="shared" si="1"/>
        <v>0.2143622722</v>
      </c>
      <c r="P4" s="51">
        <f t="shared" si="1"/>
        <v>0.2</v>
      </c>
      <c r="Q4" s="52">
        <f t="shared" si="1"/>
        <v>0.1818181818</v>
      </c>
      <c r="R4" s="53">
        <f t="shared" ref="R4:R10" si="3">AVERAGE(K4:Q4)</f>
        <v>0.2188051592</v>
      </c>
      <c r="T4" s="38" t="s">
        <v>4</v>
      </c>
      <c r="U4" s="46">
        <f>B4*R4</f>
        <v>0.2188051592</v>
      </c>
      <c r="V4" s="47">
        <f>C4*R5</f>
        <v>0.3023440345</v>
      </c>
      <c r="W4" s="48">
        <f>D4*R6</f>
        <v>0.2535978915</v>
      </c>
      <c r="X4" s="49">
        <f>E4*R7</f>
        <v>0.227582134</v>
      </c>
      <c r="Y4" s="50">
        <f>F4*R8</f>
        <v>0.225119162</v>
      </c>
      <c r="Z4" s="51">
        <f>G4*R9</f>
        <v>0.1824241396</v>
      </c>
      <c r="AA4" s="52">
        <f>H4*R10</f>
        <v>0.1697751253</v>
      </c>
      <c r="AB4" s="54">
        <f t="shared" ref="AB4:AB10" si="4">SUM(U4:AA4)</f>
        <v>1.579647646</v>
      </c>
      <c r="AC4" s="55">
        <f t="shared" ref="AC4:AC10" si="5">AB4/R4</f>
        <v>7.219425959</v>
      </c>
    </row>
    <row r="5">
      <c r="A5" s="38" t="s">
        <v>5</v>
      </c>
      <c r="B5" s="56">
        <v>0.5</v>
      </c>
      <c r="C5" s="57">
        <v>1.0</v>
      </c>
      <c r="D5" s="58">
        <v>2.0</v>
      </c>
      <c r="E5" s="59">
        <v>3.0</v>
      </c>
      <c r="F5" s="60">
        <v>2.0</v>
      </c>
      <c r="G5" s="61">
        <v>4.0</v>
      </c>
      <c r="H5" s="62">
        <v>0.33</v>
      </c>
      <c r="J5" s="38" t="s">
        <v>5</v>
      </c>
      <c r="K5" s="46">
        <f t="shared" ref="K5:Q5" si="2">B5/B11</f>
        <v>0.1046025105</v>
      </c>
      <c r="L5" s="47">
        <f t="shared" si="2"/>
        <v>0.1319261214</v>
      </c>
      <c r="M5" s="48">
        <f t="shared" si="2"/>
        <v>0.1558846454</v>
      </c>
      <c r="N5" s="49">
        <f t="shared" si="2"/>
        <v>0.1714285714</v>
      </c>
      <c r="O5" s="50">
        <f t="shared" si="2"/>
        <v>0.2143622722</v>
      </c>
      <c r="P5" s="51">
        <f t="shared" si="2"/>
        <v>0.16</v>
      </c>
      <c r="Q5" s="52">
        <f t="shared" si="2"/>
        <v>0.12</v>
      </c>
      <c r="R5" s="63">
        <f t="shared" si="3"/>
        <v>0.1511720173</v>
      </c>
      <c r="T5" s="38" t="s">
        <v>5</v>
      </c>
      <c r="U5" s="46">
        <f>B5*R4</f>
        <v>0.1094025796</v>
      </c>
      <c r="V5" s="47">
        <f>C5*R5</f>
        <v>0.1511720173</v>
      </c>
      <c r="W5" s="48">
        <f>D5*R6</f>
        <v>0.169065261</v>
      </c>
      <c r="X5" s="49">
        <f>E5*R7</f>
        <v>0.1706866005</v>
      </c>
      <c r="Y5" s="50">
        <f>F5*R8</f>
        <v>0.225119162</v>
      </c>
      <c r="Z5" s="51">
        <f>G5*R9</f>
        <v>0.1459393117</v>
      </c>
      <c r="AA5" s="52">
        <f>H5*R10</f>
        <v>0.1120515827</v>
      </c>
      <c r="AB5" s="54">
        <f t="shared" si="4"/>
        <v>1.083436515</v>
      </c>
      <c r="AC5" s="55">
        <f t="shared" si="5"/>
        <v>7.166911802</v>
      </c>
    </row>
    <row r="6">
      <c r="A6" s="38" t="s">
        <v>6</v>
      </c>
      <c r="B6" s="56">
        <v>0.33</v>
      </c>
      <c r="C6" s="57">
        <v>0.5</v>
      </c>
      <c r="D6" s="58">
        <v>1.0</v>
      </c>
      <c r="E6" s="59">
        <v>2.0</v>
      </c>
      <c r="F6" s="60">
        <v>0.5</v>
      </c>
      <c r="G6" s="61">
        <v>3.0</v>
      </c>
      <c r="H6" s="62">
        <v>0.25</v>
      </c>
      <c r="J6" s="38" t="s">
        <v>6</v>
      </c>
      <c r="K6" s="46">
        <f t="shared" ref="K6:Q6" si="6">B6/B11</f>
        <v>0.0690376569</v>
      </c>
      <c r="L6" s="47">
        <f t="shared" si="6"/>
        <v>0.06596306069</v>
      </c>
      <c r="M6" s="48">
        <f t="shared" si="6"/>
        <v>0.07794232268</v>
      </c>
      <c r="N6" s="49">
        <f t="shared" si="6"/>
        <v>0.1142857143</v>
      </c>
      <c r="O6" s="50">
        <f t="shared" si="6"/>
        <v>0.05359056806</v>
      </c>
      <c r="P6" s="51">
        <f t="shared" si="6"/>
        <v>0.12</v>
      </c>
      <c r="Q6" s="52">
        <f t="shared" si="6"/>
        <v>0.09090909091</v>
      </c>
      <c r="R6" s="64">
        <f t="shared" si="3"/>
        <v>0.0845326305</v>
      </c>
      <c r="T6" s="38" t="s">
        <v>6</v>
      </c>
      <c r="U6" s="46">
        <f>B6*R4</f>
        <v>0.07220570253</v>
      </c>
      <c r="V6" s="47">
        <f>C6*R5</f>
        <v>0.07558600863</v>
      </c>
      <c r="W6" s="48">
        <f>D6*R6</f>
        <v>0.0845326305</v>
      </c>
      <c r="X6" s="49">
        <f>E6*R7</f>
        <v>0.113791067</v>
      </c>
      <c r="Y6" s="50">
        <f>F6*R8</f>
        <v>0.05627979049</v>
      </c>
      <c r="Z6" s="51">
        <f>G6*R9</f>
        <v>0.1094544837</v>
      </c>
      <c r="AA6" s="52">
        <f>H6*R10</f>
        <v>0.08488756266</v>
      </c>
      <c r="AB6" s="54">
        <f t="shared" si="4"/>
        <v>0.5967372456</v>
      </c>
      <c r="AC6" s="55">
        <f t="shared" si="5"/>
        <v>7.059253238</v>
      </c>
    </row>
    <row r="7">
      <c r="A7" s="38" t="s">
        <v>7</v>
      </c>
      <c r="B7" s="56">
        <v>0.25</v>
      </c>
      <c r="C7" s="57">
        <v>0.33</v>
      </c>
      <c r="D7" s="58">
        <v>0.5</v>
      </c>
      <c r="E7" s="59">
        <v>1.0</v>
      </c>
      <c r="F7" s="60">
        <v>0.5</v>
      </c>
      <c r="G7" s="61">
        <v>2.0</v>
      </c>
      <c r="H7" s="62">
        <v>0.2</v>
      </c>
      <c r="J7" s="38" t="s">
        <v>7</v>
      </c>
      <c r="K7" s="46">
        <f t="shared" ref="K7:Q7" si="7">B7/B11</f>
        <v>0.05230125523</v>
      </c>
      <c r="L7" s="47">
        <f t="shared" si="7"/>
        <v>0.04353562005</v>
      </c>
      <c r="M7" s="48">
        <f t="shared" si="7"/>
        <v>0.03897116134</v>
      </c>
      <c r="N7" s="49">
        <f t="shared" si="7"/>
        <v>0.05714285714</v>
      </c>
      <c r="O7" s="50">
        <f t="shared" si="7"/>
        <v>0.05359056806</v>
      </c>
      <c r="P7" s="51">
        <f t="shared" si="7"/>
        <v>0.08</v>
      </c>
      <c r="Q7" s="52">
        <f t="shared" si="7"/>
        <v>0.07272727273</v>
      </c>
      <c r="R7" s="65">
        <f t="shared" si="3"/>
        <v>0.05689553351</v>
      </c>
      <c r="T7" s="38" t="s">
        <v>7</v>
      </c>
      <c r="U7" s="46">
        <f>B7*R4</f>
        <v>0.0547012898</v>
      </c>
      <c r="V7" s="47">
        <f>C7*R5</f>
        <v>0.0498867657</v>
      </c>
      <c r="W7" s="48">
        <f>D7*R6</f>
        <v>0.04226631525</v>
      </c>
      <c r="X7" s="49">
        <f>E7*R7</f>
        <v>0.05689553351</v>
      </c>
      <c r="Y7" s="50">
        <f>F7*R8</f>
        <v>0.05627979049</v>
      </c>
      <c r="Z7" s="51">
        <f>G7*R9</f>
        <v>0.07296965583</v>
      </c>
      <c r="AA7" s="52">
        <f>H7*R10</f>
        <v>0.06791005013</v>
      </c>
      <c r="AB7" s="54">
        <f t="shared" si="4"/>
        <v>0.4009094007</v>
      </c>
      <c r="AC7" s="55">
        <f t="shared" si="5"/>
        <v>7.046412539</v>
      </c>
    </row>
    <row r="8">
      <c r="A8" s="38" t="s">
        <v>8</v>
      </c>
      <c r="B8" s="56">
        <v>0.5</v>
      </c>
      <c r="C8" s="57">
        <v>0.5</v>
      </c>
      <c r="D8" s="58">
        <v>2.0</v>
      </c>
      <c r="E8" s="59">
        <v>2.0</v>
      </c>
      <c r="F8" s="60">
        <v>1.0</v>
      </c>
      <c r="G8" s="61">
        <v>3.0</v>
      </c>
      <c r="H8" s="62">
        <v>0.33</v>
      </c>
      <c r="J8" s="38" t="s">
        <v>8</v>
      </c>
      <c r="K8" s="46">
        <f t="shared" ref="K8:Q8" si="8">B8/B11</f>
        <v>0.1046025105</v>
      </c>
      <c r="L8" s="47">
        <f t="shared" si="8"/>
        <v>0.06596306069</v>
      </c>
      <c r="M8" s="48">
        <f t="shared" si="8"/>
        <v>0.1558846454</v>
      </c>
      <c r="N8" s="49">
        <f t="shared" si="8"/>
        <v>0.1142857143</v>
      </c>
      <c r="O8" s="50">
        <f t="shared" si="8"/>
        <v>0.1071811361</v>
      </c>
      <c r="P8" s="51">
        <f t="shared" si="8"/>
        <v>0.12</v>
      </c>
      <c r="Q8" s="52">
        <f t="shared" si="8"/>
        <v>0.12</v>
      </c>
      <c r="R8" s="66">
        <f t="shared" si="3"/>
        <v>0.112559581</v>
      </c>
      <c r="T8" s="38" t="s">
        <v>8</v>
      </c>
      <c r="U8" s="46">
        <f>B8*R4</f>
        <v>0.1094025796</v>
      </c>
      <c r="V8" s="47">
        <f>C8*R5</f>
        <v>0.07558600863</v>
      </c>
      <c r="W8" s="48">
        <f>D8*R6</f>
        <v>0.169065261</v>
      </c>
      <c r="X8" s="49">
        <f>E8*R7</f>
        <v>0.113791067</v>
      </c>
      <c r="Y8" s="50">
        <f>F8*R8</f>
        <v>0.112559581</v>
      </c>
      <c r="Z8" s="51">
        <f>G8*R9</f>
        <v>0.1094544837</v>
      </c>
      <c r="AA8" s="52">
        <f>H8*R10</f>
        <v>0.1120515827</v>
      </c>
      <c r="AB8" s="54">
        <f t="shared" si="4"/>
        <v>0.8019105637</v>
      </c>
      <c r="AC8" s="55">
        <f t="shared" si="5"/>
        <v>7.124320797</v>
      </c>
    </row>
    <row r="9">
      <c r="A9" s="38" t="s">
        <v>9</v>
      </c>
      <c r="B9" s="56">
        <v>0.2</v>
      </c>
      <c r="C9" s="57">
        <v>0.25</v>
      </c>
      <c r="D9" s="58">
        <v>0.33</v>
      </c>
      <c r="E9" s="59">
        <v>0.5</v>
      </c>
      <c r="F9" s="60">
        <v>0.33</v>
      </c>
      <c r="G9" s="61">
        <v>1.0</v>
      </c>
      <c r="H9" s="62">
        <v>0.14</v>
      </c>
      <c r="J9" s="38" t="s">
        <v>9</v>
      </c>
      <c r="K9" s="46">
        <f t="shared" ref="K9:Q9" si="9">B9/B11</f>
        <v>0.04184100418</v>
      </c>
      <c r="L9" s="47">
        <f t="shared" si="9"/>
        <v>0.03298153034</v>
      </c>
      <c r="M9" s="48">
        <f t="shared" si="9"/>
        <v>0.02572096648</v>
      </c>
      <c r="N9" s="49">
        <f t="shared" si="9"/>
        <v>0.02857142857</v>
      </c>
      <c r="O9" s="50">
        <f t="shared" si="9"/>
        <v>0.03536977492</v>
      </c>
      <c r="P9" s="51">
        <f t="shared" si="9"/>
        <v>0.04</v>
      </c>
      <c r="Q9" s="52">
        <f t="shared" si="9"/>
        <v>0.05090909091</v>
      </c>
      <c r="R9" s="67">
        <f t="shared" si="3"/>
        <v>0.03648482792</v>
      </c>
      <c r="T9" s="38" t="s">
        <v>9</v>
      </c>
      <c r="U9" s="46">
        <f>B9*R4</f>
        <v>0.04376103184</v>
      </c>
      <c r="V9" s="47">
        <f>C9*R5</f>
        <v>0.03779300432</v>
      </c>
      <c r="W9" s="48">
        <f>D9*R6</f>
        <v>0.02789576807</v>
      </c>
      <c r="X9" s="49">
        <f>E9*R7</f>
        <v>0.02844776675</v>
      </c>
      <c r="Y9" s="50">
        <f>F9*R8</f>
        <v>0.03714466173</v>
      </c>
      <c r="Z9" s="51">
        <f>G9*R9</f>
        <v>0.03648482792</v>
      </c>
      <c r="AA9" s="52">
        <f>H9*R10</f>
        <v>0.04753703509</v>
      </c>
      <c r="AB9" s="54">
        <f t="shared" si="4"/>
        <v>0.2590640957</v>
      </c>
      <c r="AC9" s="55">
        <f t="shared" si="5"/>
        <v>7.100597988</v>
      </c>
    </row>
    <row r="10">
      <c r="A10" s="38" t="s">
        <v>10</v>
      </c>
      <c r="B10" s="56">
        <v>2.0</v>
      </c>
      <c r="C10" s="57">
        <v>3.0</v>
      </c>
      <c r="D10" s="58">
        <v>4.0</v>
      </c>
      <c r="E10" s="59">
        <v>5.0</v>
      </c>
      <c r="F10" s="60">
        <v>3.0</v>
      </c>
      <c r="G10" s="61">
        <v>7.0</v>
      </c>
      <c r="H10" s="62">
        <v>1.0</v>
      </c>
      <c r="J10" s="38" t="s">
        <v>10</v>
      </c>
      <c r="K10" s="46">
        <f t="shared" ref="K10:Q10" si="10">B10/B11</f>
        <v>0.4184100418</v>
      </c>
      <c r="L10" s="47">
        <f t="shared" si="10"/>
        <v>0.3957783641</v>
      </c>
      <c r="M10" s="48">
        <f t="shared" si="10"/>
        <v>0.3117692907</v>
      </c>
      <c r="N10" s="49">
        <f t="shared" si="10"/>
        <v>0.2857142857</v>
      </c>
      <c r="O10" s="50">
        <f t="shared" si="10"/>
        <v>0.3215434084</v>
      </c>
      <c r="P10" s="51">
        <f t="shared" si="10"/>
        <v>0.28</v>
      </c>
      <c r="Q10" s="52">
        <f t="shared" si="10"/>
        <v>0.3636363636</v>
      </c>
      <c r="R10" s="68">
        <f t="shared" si="3"/>
        <v>0.3395502506</v>
      </c>
      <c r="T10" s="38" t="s">
        <v>10</v>
      </c>
      <c r="U10" s="46">
        <f>B10*R4</f>
        <v>0.4376103184</v>
      </c>
      <c r="V10" s="47">
        <f>C10*R5</f>
        <v>0.4535160518</v>
      </c>
      <c r="W10" s="48">
        <f>D10*R6</f>
        <v>0.338130522</v>
      </c>
      <c r="X10" s="49">
        <f>E10*R7</f>
        <v>0.2844776675</v>
      </c>
      <c r="Y10" s="50">
        <f>F10*R8</f>
        <v>0.337678743</v>
      </c>
      <c r="Z10" s="51">
        <f>G10*R9</f>
        <v>0.2553937954</v>
      </c>
      <c r="AA10" s="52">
        <f>H10*R10</f>
        <v>0.3395502506</v>
      </c>
      <c r="AB10" s="54">
        <f t="shared" si="4"/>
        <v>2.446357349</v>
      </c>
      <c r="AC10" s="55">
        <f t="shared" si="5"/>
        <v>7.204698993</v>
      </c>
    </row>
    <row r="11">
      <c r="A11" s="38" t="s">
        <v>75</v>
      </c>
      <c r="B11" s="69">
        <f t="shared" ref="B11:H11" si="11">SUM(B4:B10)</f>
        <v>4.78</v>
      </c>
      <c r="C11" s="70">
        <f t="shared" si="11"/>
        <v>7.58</v>
      </c>
      <c r="D11" s="71">
        <f t="shared" si="11"/>
        <v>12.83</v>
      </c>
      <c r="E11" s="72">
        <f t="shared" si="11"/>
        <v>17.5</v>
      </c>
      <c r="F11" s="73">
        <f t="shared" si="11"/>
        <v>9.33</v>
      </c>
      <c r="G11" s="74">
        <f t="shared" si="11"/>
        <v>25</v>
      </c>
      <c r="H11" s="75">
        <f t="shared" si="11"/>
        <v>2.75</v>
      </c>
      <c r="J11" s="38" t="s">
        <v>75</v>
      </c>
      <c r="K11" s="69">
        <f t="shared" ref="K11:R11" si="12">SUM(K4:K10)</f>
        <v>1</v>
      </c>
      <c r="L11" s="70">
        <f t="shared" si="12"/>
        <v>1</v>
      </c>
      <c r="M11" s="71">
        <f t="shared" si="12"/>
        <v>1</v>
      </c>
      <c r="N11" s="72">
        <f t="shared" si="12"/>
        <v>1</v>
      </c>
      <c r="O11" s="73">
        <f t="shared" si="12"/>
        <v>1</v>
      </c>
      <c r="P11" s="74">
        <f t="shared" si="12"/>
        <v>1</v>
      </c>
      <c r="Q11" s="75">
        <f t="shared" si="12"/>
        <v>1</v>
      </c>
      <c r="R11" s="76">
        <f t="shared" si="12"/>
        <v>1</v>
      </c>
      <c r="T11" s="38" t="s">
        <v>75</v>
      </c>
      <c r="U11" s="69">
        <f t="shared" ref="U11:AB11" si="13">SUM(U4:U10)</f>
        <v>1.045888661</v>
      </c>
      <c r="V11" s="70">
        <f t="shared" si="13"/>
        <v>1.145883891</v>
      </c>
      <c r="W11" s="71">
        <f t="shared" si="13"/>
        <v>1.084553649</v>
      </c>
      <c r="X11" s="72">
        <f t="shared" si="13"/>
        <v>0.9956718364</v>
      </c>
      <c r="Y11" s="73">
        <f t="shared" si="13"/>
        <v>1.050180891</v>
      </c>
      <c r="Z11" s="74">
        <f t="shared" si="13"/>
        <v>0.9121206979</v>
      </c>
      <c r="AA11" s="75">
        <f t="shared" si="13"/>
        <v>0.9337631892</v>
      </c>
      <c r="AB11" s="54">
        <f t="shared" si="13"/>
        <v>7.168062815</v>
      </c>
      <c r="AC11" s="54">
        <f>AVERAGE(AC4:AC10)</f>
        <v>7.131660188</v>
      </c>
    </row>
    <row r="12"/>
    <row r="13" ht="40.5" customHeight="1">
      <c r="AB13" s="77" t="s">
        <v>76</v>
      </c>
      <c r="AC13" s="38"/>
    </row>
    <row r="14">
      <c r="AB14" s="78" t="s">
        <v>77</v>
      </c>
      <c r="AC14" s="54">
        <f>AC11-7</f>
        <v>0.1316601879</v>
      </c>
      <c r="AD14" s="79"/>
      <c r="AE14" s="80"/>
      <c r="AF14" s="80"/>
    </row>
    <row r="15">
      <c r="AB15" s="81"/>
      <c r="AC15" s="54">
        <f>7-1</f>
        <v>6</v>
      </c>
      <c r="AD15" s="79"/>
      <c r="AE15" s="80"/>
      <c r="AF15" s="80"/>
    </row>
    <row r="16">
      <c r="AB16" s="82"/>
      <c r="AC16" s="55">
        <f>AC14/AC15</f>
        <v>0.02194336465</v>
      </c>
      <c r="AD16" s="79"/>
      <c r="AE16" s="80"/>
      <c r="AF16" s="80"/>
    </row>
    <row r="17"/>
    <row r="18">
      <c r="AB18" s="83" t="s">
        <v>78</v>
      </c>
      <c r="AC18" s="83">
        <v>1.32</v>
      </c>
      <c r="AD18" s="38"/>
    </row>
    <row r="19" ht="35.25" customHeight="1">
      <c r="AB19" s="77" t="s">
        <v>79</v>
      </c>
      <c r="AC19" s="83"/>
      <c r="AD19" s="38"/>
    </row>
    <row r="20">
      <c r="AB20" s="83" t="s">
        <v>80</v>
      </c>
      <c r="AC20" s="84">
        <f>AC16/1.32</f>
        <v>0.0166237611</v>
      </c>
      <c r="AD20" s="38" t="s">
        <v>81</v>
      </c>
    </row>
  </sheetData>
  <mergeCells count="4">
    <mergeCell ref="A2:H2"/>
    <mergeCell ref="J2:Q2"/>
    <mergeCell ref="T2:AA2"/>
    <mergeCell ref="AB14:AB16"/>
  </mergeCells>
  <conditionalFormatting sqref="H3:H11">
    <cfRule type="notContainsBlanks" dxfId="0" priority="1">
      <formula>LEN(TRIM(H3))&gt;0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6.89"/>
    <col customWidth="1" min="3" max="3" width="8.44"/>
    <col customWidth="1" min="4" max="5" width="7.89"/>
    <col customWidth="1" min="6" max="6" width="8.33"/>
    <col customWidth="1" min="7" max="10" width="7.89"/>
    <col customWidth="1" min="11" max="13" width="4.89"/>
    <col customWidth="1" min="14" max="14" width="36.11"/>
    <col customWidth="1" min="15" max="15" width="9.22"/>
    <col customWidth="1" min="16" max="22" width="7.11"/>
    <col customWidth="1" min="23" max="24" width="8.56"/>
    <col customWidth="1" min="25" max="25" width="5.0"/>
    <col customWidth="1" min="26" max="26" width="39.44"/>
    <col customWidth="1" min="27" max="36" width="8.56"/>
    <col customWidth="1" min="37" max="37" width="4.33"/>
    <col customWidth="1" min="38" max="38" width="39.0"/>
    <col customWidth="1" min="39" max="39" width="8.56"/>
    <col customWidth="1" min="40" max="40" width="9.0"/>
    <col customWidth="1" min="41" max="48" width="8.56"/>
    <col customWidth="1" min="49" max="49" width="8.67"/>
    <col customWidth="1" min="50" max="50" width="8.33"/>
    <col customWidth="1" min="51" max="57" width="8.56"/>
  </cols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  <c r="O1" s="86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</row>
    <row r="2">
      <c r="A2" s="88" t="s">
        <v>82</v>
      </c>
      <c r="B2" s="3"/>
      <c r="C2" s="3"/>
      <c r="D2" s="3"/>
      <c r="E2" s="3"/>
      <c r="F2" s="3"/>
      <c r="G2" s="3"/>
      <c r="H2" s="3"/>
      <c r="I2" s="3"/>
      <c r="J2" s="4"/>
      <c r="K2" s="89"/>
      <c r="L2" s="89"/>
      <c r="M2" s="88" t="s">
        <v>83</v>
      </c>
      <c r="N2" s="3"/>
      <c r="O2" s="3"/>
      <c r="P2" s="3"/>
      <c r="Q2" s="3"/>
      <c r="R2" s="3"/>
      <c r="S2" s="3"/>
      <c r="T2" s="3"/>
      <c r="U2" s="3"/>
      <c r="V2" s="4"/>
      <c r="W2" s="87"/>
      <c r="X2" s="87"/>
      <c r="Y2" s="90" t="s">
        <v>84</v>
      </c>
      <c r="Z2" s="3"/>
      <c r="AA2" s="3"/>
      <c r="AB2" s="3"/>
      <c r="AC2" s="3"/>
      <c r="AD2" s="3"/>
      <c r="AE2" s="3"/>
      <c r="AF2" s="3"/>
      <c r="AG2" s="3"/>
      <c r="AH2" s="4"/>
      <c r="AI2" s="87"/>
      <c r="AJ2" s="87"/>
      <c r="AK2" s="90" t="s">
        <v>85</v>
      </c>
      <c r="AL2" s="3"/>
      <c r="AM2" s="3"/>
      <c r="AN2" s="3"/>
      <c r="AO2" s="3"/>
      <c r="AP2" s="3"/>
      <c r="AQ2" s="3"/>
      <c r="AR2" s="3"/>
      <c r="AS2" s="3"/>
      <c r="AT2" s="4"/>
      <c r="AU2" s="91" t="s">
        <v>86</v>
      </c>
      <c r="AV2" s="92"/>
      <c r="AW2" s="93" t="s">
        <v>87</v>
      </c>
      <c r="AX2" s="94"/>
      <c r="AY2" s="94"/>
      <c r="AZ2" s="94"/>
      <c r="BA2" s="94"/>
      <c r="BB2" s="94"/>
      <c r="BC2" s="94"/>
      <c r="BD2" s="94"/>
      <c r="BE2" s="94"/>
    </row>
    <row r="3">
      <c r="A3" s="95" t="s">
        <v>88</v>
      </c>
      <c r="B3" s="96" t="s">
        <v>89</v>
      </c>
      <c r="C3" s="4"/>
      <c r="D3" s="97" t="s">
        <v>3</v>
      </c>
      <c r="E3" s="98"/>
      <c r="F3" s="98"/>
      <c r="G3" s="98"/>
      <c r="H3" s="98"/>
      <c r="I3" s="98"/>
      <c r="J3" s="92"/>
      <c r="K3" s="99"/>
      <c r="L3" s="99"/>
      <c r="M3" s="95" t="s">
        <v>88</v>
      </c>
      <c r="N3" s="96" t="s">
        <v>89</v>
      </c>
      <c r="O3" s="4"/>
      <c r="P3" s="97" t="s">
        <v>3</v>
      </c>
      <c r="Q3" s="98"/>
      <c r="R3" s="98"/>
      <c r="S3" s="98"/>
      <c r="T3" s="98"/>
      <c r="U3" s="98"/>
      <c r="V3" s="92"/>
      <c r="W3" s="87"/>
      <c r="X3" s="87"/>
      <c r="Y3" s="100" t="s">
        <v>90</v>
      </c>
      <c r="Z3" s="96" t="s">
        <v>89</v>
      </c>
      <c r="AA3" s="4"/>
      <c r="AB3" s="101" t="s">
        <v>3</v>
      </c>
      <c r="AC3" s="3"/>
      <c r="AD3" s="3"/>
      <c r="AE3" s="3"/>
      <c r="AF3" s="3"/>
      <c r="AG3" s="3"/>
      <c r="AH3" s="4"/>
      <c r="AI3" s="87"/>
      <c r="AJ3" s="87"/>
      <c r="AK3" s="100" t="s">
        <v>90</v>
      </c>
      <c r="AL3" s="96" t="s">
        <v>89</v>
      </c>
      <c r="AM3" s="4"/>
      <c r="AN3" s="101" t="s">
        <v>3</v>
      </c>
      <c r="AO3" s="3"/>
      <c r="AP3" s="3"/>
      <c r="AQ3" s="3"/>
      <c r="AR3" s="3"/>
      <c r="AS3" s="3"/>
      <c r="AT3" s="4"/>
      <c r="AU3" s="102"/>
      <c r="AV3" s="103"/>
      <c r="AW3" s="82"/>
      <c r="AX3" s="104"/>
      <c r="AY3" s="99"/>
      <c r="AZ3" s="99"/>
      <c r="BA3" s="99"/>
      <c r="BB3" s="99"/>
      <c r="BC3" s="99"/>
      <c r="BD3" s="99"/>
      <c r="BE3" s="99"/>
    </row>
    <row r="4">
      <c r="A4" s="96" t="s">
        <v>91</v>
      </c>
      <c r="B4" s="4"/>
      <c r="C4" s="105" t="s">
        <v>92</v>
      </c>
      <c r="D4" s="106" t="s">
        <v>65</v>
      </c>
      <c r="E4" s="107" t="s">
        <v>66</v>
      </c>
      <c r="F4" s="108" t="s">
        <v>67</v>
      </c>
      <c r="G4" s="109" t="s">
        <v>68</v>
      </c>
      <c r="H4" s="110" t="s">
        <v>69</v>
      </c>
      <c r="I4" s="111" t="s">
        <v>70</v>
      </c>
      <c r="J4" s="112" t="s">
        <v>71</v>
      </c>
      <c r="K4" s="99"/>
      <c r="L4" s="113"/>
      <c r="M4" s="96" t="s">
        <v>91</v>
      </c>
      <c r="N4" s="4"/>
      <c r="O4" s="105" t="s">
        <v>92</v>
      </c>
      <c r="P4" s="106" t="s">
        <v>65</v>
      </c>
      <c r="Q4" s="107" t="s">
        <v>66</v>
      </c>
      <c r="R4" s="108" t="s">
        <v>67</v>
      </c>
      <c r="S4" s="109" t="s">
        <v>68</v>
      </c>
      <c r="T4" s="110" t="s">
        <v>69</v>
      </c>
      <c r="U4" s="111" t="s">
        <v>70</v>
      </c>
      <c r="V4" s="112" t="s">
        <v>71</v>
      </c>
      <c r="W4" s="87"/>
      <c r="X4" s="87"/>
      <c r="Y4" s="96" t="s">
        <v>91</v>
      </c>
      <c r="Z4" s="4"/>
      <c r="AA4" s="105" t="s">
        <v>92</v>
      </c>
      <c r="AB4" s="114" t="s">
        <v>65</v>
      </c>
      <c r="AC4" s="115" t="s">
        <v>66</v>
      </c>
      <c r="AD4" s="116" t="s">
        <v>67</v>
      </c>
      <c r="AE4" s="117" t="s">
        <v>68</v>
      </c>
      <c r="AF4" s="118" t="s">
        <v>69</v>
      </c>
      <c r="AG4" s="119" t="s">
        <v>70</v>
      </c>
      <c r="AH4" s="120" t="s">
        <v>71</v>
      </c>
      <c r="AI4" s="87"/>
      <c r="AJ4" s="87"/>
      <c r="AK4" s="96" t="s">
        <v>91</v>
      </c>
      <c r="AL4" s="4"/>
      <c r="AM4" s="105" t="s">
        <v>92</v>
      </c>
      <c r="AN4" s="121" t="s">
        <v>65</v>
      </c>
      <c r="AO4" s="115" t="s">
        <v>66</v>
      </c>
      <c r="AP4" s="116" t="s">
        <v>67</v>
      </c>
      <c r="AQ4" s="117" t="s">
        <v>68</v>
      </c>
      <c r="AR4" s="118" t="s">
        <v>69</v>
      </c>
      <c r="AS4" s="119" t="s">
        <v>70</v>
      </c>
      <c r="AT4" s="120" t="s">
        <v>71</v>
      </c>
      <c r="AU4" s="100" t="s">
        <v>93</v>
      </c>
      <c r="AV4" s="100" t="s">
        <v>94</v>
      </c>
      <c r="AW4" s="122" t="s">
        <v>95</v>
      </c>
      <c r="AX4" s="113"/>
      <c r="AY4" s="85"/>
      <c r="AZ4" s="85"/>
      <c r="BA4" s="85"/>
      <c r="BB4" s="85"/>
      <c r="BC4" s="85"/>
      <c r="BD4" s="85"/>
      <c r="BE4" s="85"/>
    </row>
    <row r="5">
      <c r="A5" s="36">
        <v>1.0</v>
      </c>
      <c r="B5" s="123" t="s">
        <v>96</v>
      </c>
      <c r="C5" s="77" t="s">
        <v>97</v>
      </c>
      <c r="D5" s="124" t="s">
        <v>98</v>
      </c>
      <c r="E5" s="125" t="s">
        <v>99</v>
      </c>
      <c r="F5" s="126" t="s">
        <v>100</v>
      </c>
      <c r="G5" s="127" t="s">
        <v>101</v>
      </c>
      <c r="H5" s="128" t="s">
        <v>102</v>
      </c>
      <c r="I5" s="129" t="s">
        <v>101</v>
      </c>
      <c r="J5" s="130" t="s">
        <v>103</v>
      </c>
      <c r="K5" s="99"/>
      <c r="L5" s="131"/>
      <c r="M5" s="36">
        <v>1.0</v>
      </c>
      <c r="N5" s="123" t="s">
        <v>96</v>
      </c>
      <c r="O5" s="77" t="s">
        <v>97</v>
      </c>
      <c r="P5" s="132">
        <f t="shared" ref="P5:P15" si="1">SWITCH(D5, "SB", 4, "B", 3, "KB", 2, "TB", 1, 0)</f>
        <v>4</v>
      </c>
      <c r="Q5" s="133">
        <f t="shared" ref="Q5:Q15" si="2">SWITCH(E5, "SL", 4, "L", 3, "KL", 2, "TL", 1, 0)</f>
        <v>4</v>
      </c>
      <c r="R5" s="134">
        <f t="shared" ref="R5:R15" si="3">SWITCH(F5, "SM", 4, "M", 3, "KM", 2, "TM", 1, 0)</f>
        <v>4</v>
      </c>
      <c r="S5" s="135">
        <f t="shared" ref="S5:S15" si="4">SWITCH(G5, "SB", 4, "B", 3, "KB", 2, "TB", 1, 0)</f>
        <v>3</v>
      </c>
      <c r="T5" s="136">
        <f t="shared" ref="T5:T15" si="5">SWITCH(H5, "ST", 4, "T", 3, "R", 2, "SR", 1, 0)</f>
        <v>4</v>
      </c>
      <c r="U5" s="137">
        <f t="shared" ref="U5:U15" si="6">SWITCH(I5, "SB", 4, "B", 3, "KB", 2, "TB", 1, 0)</f>
        <v>3</v>
      </c>
      <c r="V5" s="138">
        <f t="shared" ref="V5:V15" si="7">SWITCH(J5, "SS", 4, "S", 3, "KS", 2, "TS", 1, 0)</f>
        <v>4</v>
      </c>
      <c r="W5" s="87"/>
      <c r="X5" s="87"/>
      <c r="Y5" s="36">
        <v>1.0</v>
      </c>
      <c r="Z5" s="123" t="s">
        <v>96</v>
      </c>
      <c r="AA5" s="77" t="s">
        <v>97</v>
      </c>
      <c r="AB5" s="139">
        <f>P5/P32</f>
        <v>0.2534897002</v>
      </c>
      <c r="AC5" s="140">
        <f t="shared" ref="AC5:AC15" si="8">Q5/$Q$32</f>
        <v>0.31330418</v>
      </c>
      <c r="AD5" s="141">
        <f t="shared" ref="AD5:AD15" si="9">R5/$R$32</f>
        <v>0.2545139052</v>
      </c>
      <c r="AE5" s="142">
        <f t="shared" ref="AE5:AE15" si="10">S5/$S$32</f>
        <v>0.197814142</v>
      </c>
      <c r="AF5" s="143">
        <f t="shared" ref="AF5:AF15" si="11">T5/$T$32</f>
        <v>0.2773500981</v>
      </c>
      <c r="AG5" s="144">
        <f t="shared" ref="AG5:AG15" si="12">U5/$U$32</f>
        <v>0.1948709407</v>
      </c>
      <c r="AH5" s="145">
        <f t="shared" ref="AH5:AH15" si="13">V5/$V$32</f>
        <v>0.2212005054</v>
      </c>
      <c r="AI5" s="146"/>
      <c r="AJ5" s="146"/>
      <c r="AK5" s="36">
        <v>1.0</v>
      </c>
      <c r="AL5" s="123" t="s">
        <v>96</v>
      </c>
      <c r="AM5" s="77" t="s">
        <v>97</v>
      </c>
      <c r="AN5" s="147">
        <f>AB5*AHP!R4</f>
        <v>0.05546485421</v>
      </c>
      <c r="AO5" s="148">
        <f>AC5*AHP!R5</f>
        <v>0.04736282491</v>
      </c>
      <c r="AP5" s="149">
        <f>AD5*AHP!R6</f>
        <v>0.02151472991</v>
      </c>
      <c r="AQ5" s="150">
        <f>AE5*AHP!R7</f>
        <v>0.01125474115</v>
      </c>
      <c r="AR5" s="151">
        <f>AF5*AHP!R8</f>
        <v>0.03121841083</v>
      </c>
      <c r="AS5" s="152">
        <f>AG5*AHP!R9</f>
        <v>0.007109832739</v>
      </c>
      <c r="AT5" s="153">
        <f>AH5*AHP!R10</f>
        <v>0.07510868706</v>
      </c>
      <c r="AU5" s="154">
        <f>SQRT(SUMPRODUCT((AN5:AT5 - AN33:AT33)^2))</f>
        <v>0.004437453221</v>
      </c>
      <c r="AV5" s="155">
        <f>SQRT(SUMPRODUCT((AN5:AT5 - AN34:AT34)^2))</f>
        <v>0.06180854579</v>
      </c>
      <c r="AW5" s="156">
        <f t="shared" ref="AW5:AW15" si="14">AV5 / (AU5 + AV5)</f>
        <v>0.9330155287</v>
      </c>
      <c r="AX5" s="157"/>
      <c r="AY5" s="158"/>
      <c r="AZ5" s="159"/>
      <c r="BA5" s="158"/>
      <c r="BB5" s="158"/>
      <c r="BC5" s="158"/>
      <c r="BD5" s="158"/>
      <c r="BE5" s="158"/>
    </row>
    <row r="6">
      <c r="A6" s="36">
        <v>2.0</v>
      </c>
      <c r="B6" s="123" t="s">
        <v>104</v>
      </c>
      <c r="C6" s="77" t="s">
        <v>105</v>
      </c>
      <c r="D6" s="124" t="s">
        <v>98</v>
      </c>
      <c r="E6" s="125" t="s">
        <v>106</v>
      </c>
      <c r="F6" s="126" t="s">
        <v>100</v>
      </c>
      <c r="G6" s="127" t="s">
        <v>101</v>
      </c>
      <c r="H6" s="128" t="s">
        <v>107</v>
      </c>
      <c r="I6" s="129" t="s">
        <v>101</v>
      </c>
      <c r="J6" s="130" t="s">
        <v>103</v>
      </c>
      <c r="K6" s="99"/>
      <c r="L6" s="131"/>
      <c r="M6" s="36">
        <v>2.0</v>
      </c>
      <c r="N6" s="123" t="s">
        <v>104</v>
      </c>
      <c r="O6" s="77" t="s">
        <v>105</v>
      </c>
      <c r="P6" s="132">
        <f t="shared" si="1"/>
        <v>4</v>
      </c>
      <c r="Q6" s="133">
        <f t="shared" si="2"/>
        <v>3</v>
      </c>
      <c r="R6" s="134">
        <f t="shared" si="3"/>
        <v>4</v>
      </c>
      <c r="S6" s="135">
        <f t="shared" si="4"/>
        <v>3</v>
      </c>
      <c r="T6" s="136">
        <f t="shared" si="5"/>
        <v>3</v>
      </c>
      <c r="U6" s="137">
        <f t="shared" si="6"/>
        <v>3</v>
      </c>
      <c r="V6" s="138">
        <f t="shared" si="7"/>
        <v>4</v>
      </c>
      <c r="W6" s="87"/>
      <c r="X6" s="87"/>
      <c r="Y6" s="36">
        <v>2.0</v>
      </c>
      <c r="Z6" s="123" t="s">
        <v>104</v>
      </c>
      <c r="AA6" s="77" t="s">
        <v>105</v>
      </c>
      <c r="AB6" s="139">
        <f>P6/P32</f>
        <v>0.2534897002</v>
      </c>
      <c r="AC6" s="140">
        <f t="shared" si="8"/>
        <v>0.234978135</v>
      </c>
      <c r="AD6" s="141">
        <f t="shared" si="9"/>
        <v>0.2545139052</v>
      </c>
      <c r="AE6" s="142">
        <f t="shared" si="10"/>
        <v>0.197814142</v>
      </c>
      <c r="AF6" s="143">
        <f t="shared" si="11"/>
        <v>0.2080125736</v>
      </c>
      <c r="AG6" s="144">
        <f t="shared" si="12"/>
        <v>0.1948709407</v>
      </c>
      <c r="AH6" s="145">
        <f t="shared" si="13"/>
        <v>0.2212005054</v>
      </c>
      <c r="AI6" s="146"/>
      <c r="AJ6" s="146"/>
      <c r="AK6" s="36">
        <v>2.0</v>
      </c>
      <c r="AL6" s="123" t="s">
        <v>104</v>
      </c>
      <c r="AM6" s="77" t="s">
        <v>105</v>
      </c>
      <c r="AN6" s="147">
        <f>AB6*AHP!R4</f>
        <v>0.05546485421</v>
      </c>
      <c r="AO6" s="148">
        <f>AC6*AHP!R5</f>
        <v>0.03552211868</v>
      </c>
      <c r="AP6" s="149">
        <f>AD6*AHP!R6</f>
        <v>0.02151472991</v>
      </c>
      <c r="AQ6" s="150">
        <f>AE6*AHP!R7</f>
        <v>0.01125474115</v>
      </c>
      <c r="AR6" s="151">
        <f>AF6*AHP!R8</f>
        <v>0.02341380812</v>
      </c>
      <c r="AS6" s="152">
        <f>AG6*AHP!R9</f>
        <v>0.007109832739</v>
      </c>
      <c r="AT6" s="153">
        <f>AH6*AHP!R10</f>
        <v>0.07510868706</v>
      </c>
      <c r="AU6" s="154">
        <f>SQRT(SUMPRODUCT((AN6:AT6 - AN33:AT33)^2))</f>
        <v>0.0148595134</v>
      </c>
      <c r="AV6" s="155">
        <f>SQRT(SUMPRODUCT((AN6:AT6 - AN34:AT34)^2))</f>
        <v>0.05418993672</v>
      </c>
      <c r="AW6" s="156">
        <f t="shared" si="14"/>
        <v>0.7847989611</v>
      </c>
      <c r="AX6" s="1"/>
      <c r="AY6" s="158"/>
      <c r="AZ6" s="159"/>
      <c r="BA6" s="158"/>
      <c r="BB6" s="158"/>
      <c r="BC6" s="158"/>
      <c r="BD6" s="158"/>
      <c r="BE6" s="158"/>
    </row>
    <row r="7">
      <c r="A7" s="36">
        <v>3.0</v>
      </c>
      <c r="B7" s="123" t="s">
        <v>108</v>
      </c>
      <c r="C7" s="77" t="s">
        <v>109</v>
      </c>
      <c r="D7" s="124" t="s">
        <v>98</v>
      </c>
      <c r="E7" s="125" t="s">
        <v>99</v>
      </c>
      <c r="F7" s="126" t="s">
        <v>110</v>
      </c>
      <c r="G7" s="127" t="s">
        <v>101</v>
      </c>
      <c r="H7" s="128" t="s">
        <v>107</v>
      </c>
      <c r="I7" s="129" t="s">
        <v>101</v>
      </c>
      <c r="J7" s="130" t="s">
        <v>103</v>
      </c>
      <c r="K7" s="99"/>
      <c r="L7" s="131"/>
      <c r="M7" s="36">
        <v>3.0</v>
      </c>
      <c r="N7" s="123" t="s">
        <v>108</v>
      </c>
      <c r="O7" s="77" t="s">
        <v>109</v>
      </c>
      <c r="P7" s="132">
        <f t="shared" si="1"/>
        <v>4</v>
      </c>
      <c r="Q7" s="133">
        <f t="shared" si="2"/>
        <v>4</v>
      </c>
      <c r="R7" s="134">
        <f t="shared" si="3"/>
        <v>3</v>
      </c>
      <c r="S7" s="135">
        <f t="shared" si="4"/>
        <v>3</v>
      </c>
      <c r="T7" s="136">
        <f t="shared" si="5"/>
        <v>3</v>
      </c>
      <c r="U7" s="137">
        <f t="shared" si="6"/>
        <v>3</v>
      </c>
      <c r="V7" s="138">
        <f t="shared" si="7"/>
        <v>4</v>
      </c>
      <c r="W7" s="87"/>
      <c r="X7" s="87"/>
      <c r="Y7" s="36">
        <v>3.0</v>
      </c>
      <c r="Z7" s="123" t="s">
        <v>108</v>
      </c>
      <c r="AA7" s="77" t="s">
        <v>109</v>
      </c>
      <c r="AB7" s="139">
        <f>P7/P32</f>
        <v>0.2534897002</v>
      </c>
      <c r="AC7" s="140">
        <f t="shared" si="8"/>
        <v>0.31330418</v>
      </c>
      <c r="AD7" s="141">
        <f t="shared" si="9"/>
        <v>0.1908854289</v>
      </c>
      <c r="AE7" s="142">
        <f t="shared" si="10"/>
        <v>0.197814142</v>
      </c>
      <c r="AF7" s="143">
        <f t="shared" si="11"/>
        <v>0.2080125736</v>
      </c>
      <c r="AG7" s="144">
        <f t="shared" si="12"/>
        <v>0.1948709407</v>
      </c>
      <c r="AH7" s="145">
        <f t="shared" si="13"/>
        <v>0.2212005054</v>
      </c>
      <c r="AI7" s="146"/>
      <c r="AJ7" s="146"/>
      <c r="AK7" s="36">
        <v>3.0</v>
      </c>
      <c r="AL7" s="123" t="s">
        <v>108</v>
      </c>
      <c r="AM7" s="77" t="s">
        <v>109</v>
      </c>
      <c r="AN7" s="147">
        <f>AB7*AHP!R4</f>
        <v>0.05546485421</v>
      </c>
      <c r="AO7" s="148">
        <f>AC7*AHP!R5</f>
        <v>0.04736282491</v>
      </c>
      <c r="AP7" s="149">
        <f>AD7*AHP!R6</f>
        <v>0.01613604743</v>
      </c>
      <c r="AQ7" s="150">
        <f>AE7*AHP!R7</f>
        <v>0.01125474115</v>
      </c>
      <c r="AR7" s="151">
        <f>AF7*AHP!R8</f>
        <v>0.02341380812</v>
      </c>
      <c r="AS7" s="152">
        <f>AG7*AHP!R9</f>
        <v>0.007109832739</v>
      </c>
      <c r="AT7" s="153">
        <f>AH7*AHP!R10</f>
        <v>0.07510868706</v>
      </c>
      <c r="AU7" s="154">
        <f>SQRT(SUMPRODUCT((AN7:AT7 - AN33:AT33)^2))</f>
        <v>0.01046580335</v>
      </c>
      <c r="AV7" s="155">
        <f>SQRT(SUMPRODUCT((AN7:AT7 - AN34:AT34)^2))</f>
        <v>0.05958833935</v>
      </c>
      <c r="AW7" s="156">
        <f t="shared" si="14"/>
        <v>0.8506040764</v>
      </c>
      <c r="AX7" s="1"/>
      <c r="AY7" s="158"/>
      <c r="AZ7" s="159"/>
      <c r="BA7" s="158"/>
      <c r="BB7" s="158"/>
      <c r="BC7" s="158"/>
      <c r="BD7" s="158"/>
      <c r="BE7" s="158"/>
    </row>
    <row r="8">
      <c r="A8" s="36">
        <v>4.0</v>
      </c>
      <c r="B8" s="123" t="s">
        <v>111</v>
      </c>
      <c r="C8" s="77" t="s">
        <v>112</v>
      </c>
      <c r="D8" s="124" t="s">
        <v>101</v>
      </c>
      <c r="E8" s="125" t="s">
        <v>113</v>
      </c>
      <c r="F8" s="126" t="s">
        <v>114</v>
      </c>
      <c r="G8" s="127" t="s">
        <v>115</v>
      </c>
      <c r="H8" s="128" t="s">
        <v>116</v>
      </c>
      <c r="I8" s="129" t="s">
        <v>115</v>
      </c>
      <c r="J8" s="130" t="s">
        <v>117</v>
      </c>
      <c r="K8" s="99"/>
      <c r="L8" s="131"/>
      <c r="M8" s="36">
        <v>4.0</v>
      </c>
      <c r="N8" s="123" t="s">
        <v>111</v>
      </c>
      <c r="O8" s="77" t="s">
        <v>112</v>
      </c>
      <c r="P8" s="132">
        <f t="shared" si="1"/>
        <v>3</v>
      </c>
      <c r="Q8" s="133">
        <f t="shared" si="2"/>
        <v>2</v>
      </c>
      <c r="R8" s="134">
        <f t="shared" si="3"/>
        <v>2</v>
      </c>
      <c r="S8" s="135">
        <f t="shared" si="4"/>
        <v>2</v>
      </c>
      <c r="T8" s="136">
        <f t="shared" si="5"/>
        <v>2</v>
      </c>
      <c r="U8" s="137">
        <f t="shared" si="6"/>
        <v>2</v>
      </c>
      <c r="V8" s="138">
        <f t="shared" si="7"/>
        <v>3</v>
      </c>
      <c r="W8" s="87"/>
      <c r="X8" s="87"/>
      <c r="Y8" s="36">
        <v>4.0</v>
      </c>
      <c r="Z8" s="123" t="s">
        <v>111</v>
      </c>
      <c r="AA8" s="77" t="s">
        <v>112</v>
      </c>
      <c r="AB8" s="139">
        <f>P8/P32</f>
        <v>0.1901172752</v>
      </c>
      <c r="AC8" s="140">
        <f t="shared" si="8"/>
        <v>0.15665209</v>
      </c>
      <c r="AD8" s="141">
        <f t="shared" si="9"/>
        <v>0.1272569526</v>
      </c>
      <c r="AE8" s="142">
        <f t="shared" si="10"/>
        <v>0.1318760947</v>
      </c>
      <c r="AF8" s="143">
        <f t="shared" si="11"/>
        <v>0.1386750491</v>
      </c>
      <c r="AG8" s="144">
        <f t="shared" si="12"/>
        <v>0.1299139605</v>
      </c>
      <c r="AH8" s="145">
        <f t="shared" si="13"/>
        <v>0.1659003791</v>
      </c>
      <c r="AI8" s="146"/>
      <c r="AJ8" s="146"/>
      <c r="AK8" s="36">
        <v>4.0</v>
      </c>
      <c r="AL8" s="123" t="s">
        <v>111</v>
      </c>
      <c r="AM8" s="77" t="s">
        <v>112</v>
      </c>
      <c r="AN8" s="147">
        <f>AB8*AHP!R4</f>
        <v>0.04159864066</v>
      </c>
      <c r="AO8" s="148">
        <f>AC8*AHP!R5</f>
        <v>0.02368141245</v>
      </c>
      <c r="AP8" s="149">
        <f>AD8*AHP!R6</f>
        <v>0.01075736495</v>
      </c>
      <c r="AQ8" s="150">
        <f>AE8*AHP!R7</f>
        <v>0.007503160764</v>
      </c>
      <c r="AR8" s="151">
        <f>AF8*AHP!R8</f>
        <v>0.01560920542</v>
      </c>
      <c r="AS8" s="152">
        <f>AG8*AHP!R9</f>
        <v>0.004739888492</v>
      </c>
      <c r="AT8" s="153">
        <f>AH8*AHP!R10</f>
        <v>0.0563315153</v>
      </c>
      <c r="AU8" s="154">
        <f>SQRT(SUMPRODUCT((AN8:AT8 - AN33:AT33)^2))</f>
        <v>0.03929116329</v>
      </c>
      <c r="AV8" s="155">
        <f>SQRT(SUMPRODUCT((AN8:AT8 - AN34:AT34)^2))</f>
        <v>0.02617358175</v>
      </c>
      <c r="AW8" s="156">
        <f t="shared" si="14"/>
        <v>0.3998118642</v>
      </c>
      <c r="AX8" s="1"/>
      <c r="AY8" s="158"/>
      <c r="AZ8" s="159"/>
      <c r="BA8" s="158"/>
      <c r="BB8" s="158"/>
      <c r="BC8" s="158"/>
      <c r="BD8" s="158"/>
      <c r="BE8" s="158"/>
    </row>
    <row r="9">
      <c r="A9" s="36">
        <v>5.0</v>
      </c>
      <c r="B9" s="123" t="s">
        <v>118</v>
      </c>
      <c r="C9" s="77" t="s">
        <v>119</v>
      </c>
      <c r="D9" s="124" t="s">
        <v>98</v>
      </c>
      <c r="E9" s="125" t="s">
        <v>106</v>
      </c>
      <c r="F9" s="126" t="s">
        <v>110</v>
      </c>
      <c r="G9" s="127" t="s">
        <v>101</v>
      </c>
      <c r="H9" s="128" t="s">
        <v>107</v>
      </c>
      <c r="I9" s="129" t="s">
        <v>101</v>
      </c>
      <c r="J9" s="130" t="s">
        <v>103</v>
      </c>
      <c r="K9" s="99"/>
      <c r="L9" s="131"/>
      <c r="M9" s="36">
        <v>5.0</v>
      </c>
      <c r="N9" s="123" t="s">
        <v>118</v>
      </c>
      <c r="O9" s="77" t="s">
        <v>119</v>
      </c>
      <c r="P9" s="132">
        <f t="shared" si="1"/>
        <v>4</v>
      </c>
      <c r="Q9" s="133">
        <f t="shared" si="2"/>
        <v>3</v>
      </c>
      <c r="R9" s="134">
        <f t="shared" si="3"/>
        <v>3</v>
      </c>
      <c r="S9" s="135">
        <f t="shared" si="4"/>
        <v>3</v>
      </c>
      <c r="T9" s="136">
        <f t="shared" si="5"/>
        <v>3</v>
      </c>
      <c r="U9" s="137">
        <f t="shared" si="6"/>
        <v>3</v>
      </c>
      <c r="V9" s="138">
        <f t="shared" si="7"/>
        <v>4</v>
      </c>
      <c r="W9" s="87"/>
      <c r="X9" s="87"/>
      <c r="Y9" s="36">
        <v>5.0</v>
      </c>
      <c r="Z9" s="123" t="s">
        <v>118</v>
      </c>
      <c r="AA9" s="77" t="s">
        <v>119</v>
      </c>
      <c r="AB9" s="139">
        <f>P9/P32</f>
        <v>0.2534897002</v>
      </c>
      <c r="AC9" s="140">
        <f t="shared" si="8"/>
        <v>0.234978135</v>
      </c>
      <c r="AD9" s="141">
        <f t="shared" si="9"/>
        <v>0.1908854289</v>
      </c>
      <c r="AE9" s="142">
        <f t="shared" si="10"/>
        <v>0.197814142</v>
      </c>
      <c r="AF9" s="143">
        <f t="shared" si="11"/>
        <v>0.2080125736</v>
      </c>
      <c r="AG9" s="144">
        <f t="shared" si="12"/>
        <v>0.1948709407</v>
      </c>
      <c r="AH9" s="145">
        <f t="shared" si="13"/>
        <v>0.2212005054</v>
      </c>
      <c r="AI9" s="87"/>
      <c r="AJ9" s="87"/>
      <c r="AK9" s="36">
        <v>5.0</v>
      </c>
      <c r="AL9" s="123" t="s">
        <v>118</v>
      </c>
      <c r="AM9" s="77" t="s">
        <v>119</v>
      </c>
      <c r="AN9" s="147">
        <f>AB9*AHP!R4</f>
        <v>0.05546485421</v>
      </c>
      <c r="AO9" s="148">
        <f>AC9*AHP!R5</f>
        <v>0.03552211868</v>
      </c>
      <c r="AP9" s="149">
        <f>AD9*AHP!R6</f>
        <v>0.01613604743</v>
      </c>
      <c r="AQ9" s="150">
        <f>AE9*AHP!R7</f>
        <v>0.01125474115</v>
      </c>
      <c r="AR9" s="151">
        <f>AF9*AHP!R8</f>
        <v>0.02341380812</v>
      </c>
      <c r="AS9" s="152">
        <f>AG9*AHP!R9</f>
        <v>0.007109832739</v>
      </c>
      <c r="AT9" s="153">
        <f>AH9*AHP!R10</f>
        <v>0.07510868706</v>
      </c>
      <c r="AU9" s="154">
        <f>SQRT(SUMPRODUCT((AN9:AT9 - AN33:AT33)^2))</f>
        <v>0.01580301755</v>
      </c>
      <c r="AV9" s="155">
        <f>SQRT(SUMPRODUCT((AN9:AT9 - AN34:AT34)^2))</f>
        <v>0.05338312998</v>
      </c>
      <c r="AW9" s="156">
        <f t="shared" si="14"/>
        <v>0.7715869706</v>
      </c>
      <c r="AX9" s="1"/>
      <c r="AY9" s="158"/>
      <c r="AZ9" s="159"/>
      <c r="BA9" s="158"/>
      <c r="BB9" s="158"/>
      <c r="BC9" s="158"/>
      <c r="BD9" s="158"/>
      <c r="BE9" s="158"/>
    </row>
    <row r="10">
      <c r="A10" s="36">
        <v>6.0</v>
      </c>
      <c r="B10" s="123" t="s">
        <v>120</v>
      </c>
      <c r="C10" s="77" t="s">
        <v>121</v>
      </c>
      <c r="D10" s="124" t="s">
        <v>98</v>
      </c>
      <c r="E10" s="125" t="s">
        <v>106</v>
      </c>
      <c r="F10" s="126" t="s">
        <v>110</v>
      </c>
      <c r="G10" s="127" t="s">
        <v>101</v>
      </c>
      <c r="H10" s="128" t="s">
        <v>102</v>
      </c>
      <c r="I10" s="129" t="s">
        <v>115</v>
      </c>
      <c r="J10" s="130" t="s">
        <v>103</v>
      </c>
      <c r="K10" s="99"/>
      <c r="L10" s="131"/>
      <c r="M10" s="36">
        <v>6.0</v>
      </c>
      <c r="N10" s="123" t="s">
        <v>120</v>
      </c>
      <c r="O10" s="77" t="s">
        <v>121</v>
      </c>
      <c r="P10" s="132">
        <f t="shared" si="1"/>
        <v>4</v>
      </c>
      <c r="Q10" s="133">
        <f t="shared" si="2"/>
        <v>3</v>
      </c>
      <c r="R10" s="134">
        <f t="shared" si="3"/>
        <v>3</v>
      </c>
      <c r="S10" s="135">
        <f t="shared" si="4"/>
        <v>3</v>
      </c>
      <c r="T10" s="136">
        <f t="shared" si="5"/>
        <v>4</v>
      </c>
      <c r="U10" s="137">
        <f t="shared" si="6"/>
        <v>2</v>
      </c>
      <c r="V10" s="138">
        <f t="shared" si="7"/>
        <v>4</v>
      </c>
      <c r="W10" s="87"/>
      <c r="X10" s="87"/>
      <c r="Y10" s="36">
        <v>6.0</v>
      </c>
      <c r="Z10" s="123" t="s">
        <v>120</v>
      </c>
      <c r="AA10" s="77" t="s">
        <v>121</v>
      </c>
      <c r="AB10" s="139">
        <f>P10/P32</f>
        <v>0.2534897002</v>
      </c>
      <c r="AC10" s="140">
        <f t="shared" si="8"/>
        <v>0.234978135</v>
      </c>
      <c r="AD10" s="141">
        <f t="shared" si="9"/>
        <v>0.1908854289</v>
      </c>
      <c r="AE10" s="142">
        <f t="shared" si="10"/>
        <v>0.197814142</v>
      </c>
      <c r="AF10" s="143">
        <f t="shared" si="11"/>
        <v>0.2773500981</v>
      </c>
      <c r="AG10" s="144">
        <f t="shared" si="12"/>
        <v>0.1299139605</v>
      </c>
      <c r="AH10" s="145">
        <f t="shared" si="13"/>
        <v>0.2212005054</v>
      </c>
      <c r="AI10" s="87"/>
      <c r="AJ10" s="87"/>
      <c r="AK10" s="36">
        <v>6.0</v>
      </c>
      <c r="AL10" s="123" t="s">
        <v>120</v>
      </c>
      <c r="AM10" s="77" t="s">
        <v>121</v>
      </c>
      <c r="AN10" s="147">
        <f>AB10*AHP!R4</f>
        <v>0.05546485421</v>
      </c>
      <c r="AO10" s="148">
        <f>AC10*AHP!R5</f>
        <v>0.03552211868</v>
      </c>
      <c r="AP10" s="149">
        <f>AD10*AHP!R6</f>
        <v>0.01613604743</v>
      </c>
      <c r="AQ10" s="150">
        <f>AE10*AHP!R7</f>
        <v>0.01125474115</v>
      </c>
      <c r="AR10" s="151">
        <f>AF10*AHP!R8</f>
        <v>0.03121841083</v>
      </c>
      <c r="AS10" s="152">
        <f>AG10*AHP!R9</f>
        <v>0.004739888492</v>
      </c>
      <c r="AT10" s="153">
        <f>AH10*AHP!R10</f>
        <v>0.07510868706</v>
      </c>
      <c r="AU10" s="154">
        <f>SQRT(SUMPRODUCT((AN10:AT10 - AN33:AT33)^2))</f>
        <v>0.01434131958</v>
      </c>
      <c r="AV10" s="155">
        <f>SQRT(SUMPRODUCT((AN10:AT10 - AN34:AT34)^2))</f>
        <v>0.05501706464</v>
      </c>
      <c r="AW10" s="156">
        <f t="shared" si="14"/>
        <v>0.7932287532</v>
      </c>
      <c r="AX10" s="1"/>
      <c r="AY10" s="158"/>
      <c r="AZ10" s="159"/>
      <c r="BA10" s="158"/>
      <c r="BB10" s="158"/>
      <c r="BC10" s="158"/>
      <c r="BD10" s="158"/>
      <c r="BE10" s="158"/>
    </row>
    <row r="11">
      <c r="A11" s="160">
        <v>7.0</v>
      </c>
      <c r="B11" s="161" t="s">
        <v>122</v>
      </c>
      <c r="C11" s="162" t="s">
        <v>123</v>
      </c>
      <c r="D11" s="124" t="s">
        <v>101</v>
      </c>
      <c r="E11" s="125" t="s">
        <v>113</v>
      </c>
      <c r="F11" s="126" t="s">
        <v>114</v>
      </c>
      <c r="G11" s="127" t="s">
        <v>115</v>
      </c>
      <c r="H11" s="128" t="s">
        <v>107</v>
      </c>
      <c r="I11" s="129" t="s">
        <v>115</v>
      </c>
      <c r="J11" s="130" t="s">
        <v>117</v>
      </c>
      <c r="K11" s="99"/>
      <c r="L11" s="89"/>
      <c r="M11" s="160">
        <v>7.0</v>
      </c>
      <c r="N11" s="161" t="s">
        <v>122</v>
      </c>
      <c r="O11" s="162" t="s">
        <v>123</v>
      </c>
      <c r="P11" s="132">
        <f t="shared" si="1"/>
        <v>3</v>
      </c>
      <c r="Q11" s="133">
        <f t="shared" si="2"/>
        <v>2</v>
      </c>
      <c r="R11" s="134">
        <f t="shared" si="3"/>
        <v>2</v>
      </c>
      <c r="S11" s="135">
        <f t="shared" si="4"/>
        <v>2</v>
      </c>
      <c r="T11" s="136">
        <f t="shared" si="5"/>
        <v>3</v>
      </c>
      <c r="U11" s="137">
        <f t="shared" si="6"/>
        <v>2</v>
      </c>
      <c r="V11" s="138">
        <f t="shared" si="7"/>
        <v>3</v>
      </c>
      <c r="W11" s="87"/>
      <c r="X11" s="87"/>
      <c r="Y11" s="160">
        <v>7.0</v>
      </c>
      <c r="Z11" s="161" t="s">
        <v>122</v>
      </c>
      <c r="AA11" s="162" t="s">
        <v>123</v>
      </c>
      <c r="AB11" s="139">
        <f>P11/P32</f>
        <v>0.1901172752</v>
      </c>
      <c r="AC11" s="140">
        <f t="shared" si="8"/>
        <v>0.15665209</v>
      </c>
      <c r="AD11" s="141">
        <f t="shared" si="9"/>
        <v>0.1272569526</v>
      </c>
      <c r="AE11" s="142">
        <f t="shared" si="10"/>
        <v>0.1318760947</v>
      </c>
      <c r="AF11" s="143">
        <f t="shared" si="11"/>
        <v>0.2080125736</v>
      </c>
      <c r="AG11" s="144">
        <f t="shared" si="12"/>
        <v>0.1299139605</v>
      </c>
      <c r="AH11" s="145">
        <f t="shared" si="13"/>
        <v>0.1659003791</v>
      </c>
      <c r="AI11" s="87"/>
      <c r="AJ11" s="87"/>
      <c r="AK11" s="160">
        <v>7.0</v>
      </c>
      <c r="AL11" s="161" t="s">
        <v>122</v>
      </c>
      <c r="AM11" s="162" t="s">
        <v>123</v>
      </c>
      <c r="AN11" s="147">
        <f>AB11*AHP!R4</f>
        <v>0.04159864066</v>
      </c>
      <c r="AO11" s="148">
        <f>AC11*AHP!R5</f>
        <v>0.02368141245</v>
      </c>
      <c r="AP11" s="149">
        <f>AD11*AHP!R6</f>
        <v>0.01075736495</v>
      </c>
      <c r="AQ11" s="150">
        <f>AE11*AHP!R7</f>
        <v>0.007503160764</v>
      </c>
      <c r="AR11" s="151">
        <f>AF11*AHP!R8</f>
        <v>0.02341380812</v>
      </c>
      <c r="AS11" s="152">
        <f>AG11*AHP!R9</f>
        <v>0.004739888492</v>
      </c>
      <c r="AT11" s="153">
        <f>AH11*AHP!R10</f>
        <v>0.0563315153</v>
      </c>
      <c r="AU11" s="154">
        <f>SQRT(SUMPRODUCT((AN11:AT11 - AN33:AT33)^2))</f>
        <v>0.03689254724</v>
      </c>
      <c r="AV11" s="155">
        <f>SQRT(SUMPRODUCT((AN11:AT11 - AN34:AT34)^2))</f>
        <v>0.02731241852</v>
      </c>
      <c r="AW11" s="156">
        <f t="shared" si="14"/>
        <v>0.4253941762</v>
      </c>
      <c r="AX11" s="163"/>
      <c r="AY11" s="158"/>
      <c r="AZ11" s="159"/>
      <c r="BA11" s="158"/>
      <c r="BB11" s="158"/>
      <c r="BC11" s="158"/>
      <c r="BD11" s="158"/>
      <c r="BE11" s="158"/>
    </row>
    <row r="12">
      <c r="A12" s="160">
        <v>8.0</v>
      </c>
      <c r="B12" s="123" t="s">
        <v>124</v>
      </c>
      <c r="C12" s="162" t="s">
        <v>125</v>
      </c>
      <c r="D12" s="124" t="s">
        <v>101</v>
      </c>
      <c r="E12" s="125" t="s">
        <v>106</v>
      </c>
      <c r="F12" s="126" t="s">
        <v>110</v>
      </c>
      <c r="G12" s="127" t="s">
        <v>115</v>
      </c>
      <c r="H12" s="128" t="s">
        <v>107</v>
      </c>
      <c r="I12" s="129" t="s">
        <v>101</v>
      </c>
      <c r="J12" s="130" t="s">
        <v>103</v>
      </c>
      <c r="K12" s="99"/>
      <c r="L12" s="89"/>
      <c r="M12" s="160">
        <v>8.0</v>
      </c>
      <c r="N12" s="123" t="s">
        <v>124</v>
      </c>
      <c r="O12" s="162" t="s">
        <v>125</v>
      </c>
      <c r="P12" s="132">
        <f t="shared" si="1"/>
        <v>3</v>
      </c>
      <c r="Q12" s="133">
        <f t="shared" si="2"/>
        <v>3</v>
      </c>
      <c r="R12" s="134">
        <f t="shared" si="3"/>
        <v>3</v>
      </c>
      <c r="S12" s="135">
        <f t="shared" si="4"/>
        <v>2</v>
      </c>
      <c r="T12" s="136">
        <f t="shared" si="5"/>
        <v>3</v>
      </c>
      <c r="U12" s="137">
        <f t="shared" si="6"/>
        <v>3</v>
      </c>
      <c r="V12" s="138">
        <f t="shared" si="7"/>
        <v>4</v>
      </c>
      <c r="W12" s="87"/>
      <c r="X12" s="87"/>
      <c r="Y12" s="160">
        <v>8.0</v>
      </c>
      <c r="Z12" s="123" t="s">
        <v>124</v>
      </c>
      <c r="AA12" s="162" t="s">
        <v>125</v>
      </c>
      <c r="AB12" s="139">
        <f>P12/P32</f>
        <v>0.1901172752</v>
      </c>
      <c r="AC12" s="140">
        <f t="shared" si="8"/>
        <v>0.234978135</v>
      </c>
      <c r="AD12" s="141">
        <f t="shared" si="9"/>
        <v>0.1908854289</v>
      </c>
      <c r="AE12" s="142">
        <f t="shared" si="10"/>
        <v>0.1318760947</v>
      </c>
      <c r="AF12" s="143">
        <f t="shared" si="11"/>
        <v>0.2080125736</v>
      </c>
      <c r="AG12" s="144">
        <f t="shared" si="12"/>
        <v>0.1948709407</v>
      </c>
      <c r="AH12" s="145">
        <f t="shared" si="13"/>
        <v>0.2212005054</v>
      </c>
      <c r="AI12" s="87"/>
      <c r="AJ12" s="87"/>
      <c r="AK12" s="160">
        <v>8.0</v>
      </c>
      <c r="AL12" s="123" t="s">
        <v>124</v>
      </c>
      <c r="AM12" s="162" t="s">
        <v>125</v>
      </c>
      <c r="AN12" s="147">
        <f>AB12*AHP!R4</f>
        <v>0.04159864066</v>
      </c>
      <c r="AO12" s="148">
        <f>AC12*AHP!R5</f>
        <v>0.03552211868</v>
      </c>
      <c r="AP12" s="149">
        <f>AD12*AHP!R6</f>
        <v>0.01613604743</v>
      </c>
      <c r="AQ12" s="150">
        <f>AE12*AHP!R7</f>
        <v>0.007503160764</v>
      </c>
      <c r="AR12" s="151">
        <f>AF12*AHP!R8</f>
        <v>0.02341380812</v>
      </c>
      <c r="AS12" s="152">
        <f>AG12*AHP!R9</f>
        <v>0.007109832739</v>
      </c>
      <c r="AT12" s="153">
        <f>AH12*AHP!R10</f>
        <v>0.07510868706</v>
      </c>
      <c r="AU12" s="154">
        <f>SQRT(SUMPRODUCT((AN12:AT12 - AN33:AT33)^2))</f>
        <v>0.02200523365</v>
      </c>
      <c r="AV12" s="155">
        <f>SQRT(SUMPRODUCT((AN12:AT12 - AN34:AT34)^2))</f>
        <v>0.04752755597</v>
      </c>
      <c r="AW12" s="156">
        <f t="shared" si="14"/>
        <v>0.6835272428</v>
      </c>
      <c r="AX12" s="163"/>
      <c r="AY12" s="158"/>
      <c r="AZ12" s="159"/>
      <c r="BA12" s="158"/>
      <c r="BB12" s="158"/>
      <c r="BC12" s="158"/>
      <c r="BD12" s="158"/>
      <c r="BE12" s="158"/>
    </row>
    <row r="13">
      <c r="A13" s="160">
        <v>9.0</v>
      </c>
      <c r="B13" s="123" t="s">
        <v>126</v>
      </c>
      <c r="C13" s="162" t="s">
        <v>127</v>
      </c>
      <c r="D13" s="124" t="s">
        <v>115</v>
      </c>
      <c r="E13" s="125" t="s">
        <v>113</v>
      </c>
      <c r="F13" s="126" t="s">
        <v>114</v>
      </c>
      <c r="G13" s="127" t="s">
        <v>115</v>
      </c>
      <c r="H13" s="128" t="s">
        <v>116</v>
      </c>
      <c r="I13" s="129" t="s">
        <v>115</v>
      </c>
      <c r="J13" s="130" t="s">
        <v>128</v>
      </c>
      <c r="K13" s="99"/>
      <c r="L13" s="89"/>
      <c r="M13" s="160">
        <v>9.0</v>
      </c>
      <c r="N13" s="123" t="s">
        <v>126</v>
      </c>
      <c r="O13" s="162" t="s">
        <v>127</v>
      </c>
      <c r="P13" s="132">
        <f t="shared" si="1"/>
        <v>2</v>
      </c>
      <c r="Q13" s="133">
        <f t="shared" si="2"/>
        <v>2</v>
      </c>
      <c r="R13" s="134">
        <f t="shared" si="3"/>
        <v>2</v>
      </c>
      <c r="S13" s="135">
        <f t="shared" si="4"/>
        <v>2</v>
      </c>
      <c r="T13" s="136">
        <f t="shared" si="5"/>
        <v>2</v>
      </c>
      <c r="U13" s="137">
        <f t="shared" si="6"/>
        <v>2</v>
      </c>
      <c r="V13" s="138">
        <f t="shared" si="7"/>
        <v>2</v>
      </c>
      <c r="W13" s="87"/>
      <c r="X13" s="87"/>
      <c r="Y13" s="160">
        <v>9.0</v>
      </c>
      <c r="Z13" s="123" t="s">
        <v>126</v>
      </c>
      <c r="AA13" s="162" t="s">
        <v>127</v>
      </c>
      <c r="AB13" s="139">
        <f>P13/P32</f>
        <v>0.1267448501</v>
      </c>
      <c r="AC13" s="140">
        <f t="shared" si="8"/>
        <v>0.15665209</v>
      </c>
      <c r="AD13" s="141">
        <f t="shared" si="9"/>
        <v>0.1272569526</v>
      </c>
      <c r="AE13" s="142">
        <f t="shared" si="10"/>
        <v>0.1318760947</v>
      </c>
      <c r="AF13" s="143">
        <f t="shared" si="11"/>
        <v>0.1386750491</v>
      </c>
      <c r="AG13" s="144">
        <f t="shared" si="12"/>
        <v>0.1299139605</v>
      </c>
      <c r="AH13" s="145">
        <f t="shared" si="13"/>
        <v>0.1106002527</v>
      </c>
      <c r="AI13" s="87"/>
      <c r="AJ13" s="87"/>
      <c r="AK13" s="160">
        <v>9.0</v>
      </c>
      <c r="AL13" s="123" t="s">
        <v>126</v>
      </c>
      <c r="AM13" s="162" t="s">
        <v>127</v>
      </c>
      <c r="AN13" s="147">
        <f>AB13*AHP!R4</f>
        <v>0.0277324271</v>
      </c>
      <c r="AO13" s="148">
        <f>AC13*AHP!R5</f>
        <v>0.02368141245</v>
      </c>
      <c r="AP13" s="149">
        <f>AD13*AHP!R6</f>
        <v>0.01075736495</v>
      </c>
      <c r="AQ13" s="150">
        <f>AE13*AHP!R7</f>
        <v>0.007503160764</v>
      </c>
      <c r="AR13" s="151">
        <f>AF13*AHP!R8</f>
        <v>0.01560920542</v>
      </c>
      <c r="AS13" s="152">
        <f>AG13*AHP!R9</f>
        <v>0.004739888492</v>
      </c>
      <c r="AT13" s="153">
        <f>AH13*AHP!R10</f>
        <v>0.03755434353</v>
      </c>
      <c r="AU13" s="154">
        <f>SQRT(SUMPRODUCT((AN13:AT13 - AN33:AT33)^2))</f>
        <v>0.05637692512</v>
      </c>
      <c r="AV13" s="155">
        <f>SQRT(SUMPRODUCT((AN13:AT13 - AN34:AT34)^2))</f>
        <v>0.01184070623</v>
      </c>
      <c r="AW13" s="156">
        <f t="shared" si="14"/>
        <v>0.1735725207</v>
      </c>
      <c r="AX13" s="163"/>
      <c r="AY13" s="158"/>
      <c r="AZ13" s="159"/>
      <c r="BA13" s="158"/>
      <c r="BB13" s="158"/>
      <c r="BC13" s="158"/>
      <c r="BD13" s="158"/>
      <c r="BE13" s="158"/>
    </row>
    <row r="14">
      <c r="A14" s="160">
        <v>10.0</v>
      </c>
      <c r="B14" s="123" t="s">
        <v>129</v>
      </c>
      <c r="C14" s="162" t="s">
        <v>130</v>
      </c>
      <c r="D14" s="124" t="s">
        <v>98</v>
      </c>
      <c r="E14" s="125" t="s">
        <v>99</v>
      </c>
      <c r="F14" s="126" t="s">
        <v>100</v>
      </c>
      <c r="G14" s="127" t="s">
        <v>101</v>
      </c>
      <c r="H14" s="128" t="s">
        <v>102</v>
      </c>
      <c r="I14" s="129" t="s">
        <v>115</v>
      </c>
      <c r="J14" s="130" t="s">
        <v>103</v>
      </c>
      <c r="K14" s="99"/>
      <c r="L14" s="89"/>
      <c r="M14" s="160">
        <v>10.0</v>
      </c>
      <c r="N14" s="123" t="s">
        <v>129</v>
      </c>
      <c r="O14" s="162" t="s">
        <v>130</v>
      </c>
      <c r="P14" s="132">
        <f t="shared" si="1"/>
        <v>4</v>
      </c>
      <c r="Q14" s="133">
        <f t="shared" si="2"/>
        <v>4</v>
      </c>
      <c r="R14" s="134">
        <f t="shared" si="3"/>
        <v>4</v>
      </c>
      <c r="S14" s="135">
        <f t="shared" si="4"/>
        <v>3</v>
      </c>
      <c r="T14" s="136">
        <f t="shared" si="5"/>
        <v>4</v>
      </c>
      <c r="U14" s="137">
        <f t="shared" si="6"/>
        <v>2</v>
      </c>
      <c r="V14" s="138">
        <f t="shared" si="7"/>
        <v>4</v>
      </c>
      <c r="W14" s="87"/>
      <c r="X14" s="87"/>
      <c r="Y14" s="160">
        <v>10.0</v>
      </c>
      <c r="Z14" s="123" t="s">
        <v>129</v>
      </c>
      <c r="AA14" s="162" t="s">
        <v>130</v>
      </c>
      <c r="AB14" s="139">
        <f>P14/P32</f>
        <v>0.2534897002</v>
      </c>
      <c r="AC14" s="140">
        <f t="shared" si="8"/>
        <v>0.31330418</v>
      </c>
      <c r="AD14" s="141">
        <f t="shared" si="9"/>
        <v>0.2545139052</v>
      </c>
      <c r="AE14" s="142">
        <f t="shared" si="10"/>
        <v>0.197814142</v>
      </c>
      <c r="AF14" s="143">
        <f t="shared" si="11"/>
        <v>0.2773500981</v>
      </c>
      <c r="AG14" s="144">
        <f t="shared" si="12"/>
        <v>0.1299139605</v>
      </c>
      <c r="AH14" s="145">
        <f t="shared" si="13"/>
        <v>0.2212005054</v>
      </c>
      <c r="AI14" s="87"/>
      <c r="AJ14" s="87"/>
      <c r="AK14" s="160">
        <v>10.0</v>
      </c>
      <c r="AL14" s="123" t="s">
        <v>129</v>
      </c>
      <c r="AM14" s="162" t="s">
        <v>130</v>
      </c>
      <c r="AN14" s="147">
        <f>AB14*AHP!R4</f>
        <v>0.05546485421</v>
      </c>
      <c r="AO14" s="148">
        <f>AC14*AHP!R5</f>
        <v>0.04736282491</v>
      </c>
      <c r="AP14" s="149">
        <f>AD14*AHP!R6</f>
        <v>0.02151472991</v>
      </c>
      <c r="AQ14" s="150">
        <f>AE14*AHP!R7</f>
        <v>0.01125474115</v>
      </c>
      <c r="AR14" s="151">
        <f>AF14*AHP!R8</f>
        <v>0.03121841083</v>
      </c>
      <c r="AS14" s="152">
        <f>AG14*AHP!R9</f>
        <v>0.004739888492</v>
      </c>
      <c r="AT14" s="153">
        <f>AH14*AHP!R10</f>
        <v>0.07510868706</v>
      </c>
      <c r="AU14" s="154">
        <f>SQRT(SUMPRODUCT((AN14:AT14 - AN33:AT33)^2))</f>
        <v>0.006044906805</v>
      </c>
      <c r="AV14" s="155">
        <f>SQRT(SUMPRODUCT((AN14:AT14 - AN34:AT34)^2))</f>
        <v>0.06176309332</v>
      </c>
      <c r="AW14" s="156">
        <f t="shared" si="14"/>
        <v>0.9108526016</v>
      </c>
      <c r="AX14" s="163"/>
      <c r="AY14" s="158"/>
      <c r="AZ14" s="159"/>
      <c r="BA14" s="158"/>
      <c r="BB14" s="158"/>
      <c r="BC14" s="158"/>
      <c r="BD14" s="158"/>
      <c r="BE14" s="158"/>
    </row>
    <row r="15">
      <c r="A15" s="160">
        <v>11.0</v>
      </c>
      <c r="B15" s="123" t="s">
        <v>131</v>
      </c>
      <c r="C15" s="162" t="s">
        <v>132</v>
      </c>
      <c r="D15" s="124" t="s">
        <v>115</v>
      </c>
      <c r="E15" s="125" t="s">
        <v>113</v>
      </c>
      <c r="F15" s="126" t="s">
        <v>114</v>
      </c>
      <c r="G15" s="127" t="s">
        <v>115</v>
      </c>
      <c r="H15" s="128" t="s">
        <v>116</v>
      </c>
      <c r="I15" s="129" t="s">
        <v>115</v>
      </c>
      <c r="J15" s="130" t="s">
        <v>128</v>
      </c>
      <c r="K15" s="99"/>
      <c r="L15" s="89"/>
      <c r="M15" s="160">
        <v>11.0</v>
      </c>
      <c r="N15" s="123" t="s">
        <v>131</v>
      </c>
      <c r="O15" s="162" t="s">
        <v>132</v>
      </c>
      <c r="P15" s="132">
        <f t="shared" si="1"/>
        <v>2</v>
      </c>
      <c r="Q15" s="133">
        <f t="shared" si="2"/>
        <v>2</v>
      </c>
      <c r="R15" s="134">
        <f t="shared" si="3"/>
        <v>2</v>
      </c>
      <c r="S15" s="135">
        <f t="shared" si="4"/>
        <v>2</v>
      </c>
      <c r="T15" s="136">
        <f t="shared" si="5"/>
        <v>2</v>
      </c>
      <c r="U15" s="137">
        <f t="shared" si="6"/>
        <v>2</v>
      </c>
      <c r="V15" s="138">
        <f t="shared" si="7"/>
        <v>2</v>
      </c>
      <c r="W15" s="87"/>
      <c r="X15" s="87"/>
      <c r="Y15" s="160">
        <v>11.0</v>
      </c>
      <c r="Z15" s="123" t="s">
        <v>131</v>
      </c>
      <c r="AA15" s="162" t="s">
        <v>132</v>
      </c>
      <c r="AB15" s="139">
        <f>P15/P32</f>
        <v>0.1267448501</v>
      </c>
      <c r="AC15" s="140">
        <f t="shared" si="8"/>
        <v>0.15665209</v>
      </c>
      <c r="AD15" s="141">
        <f t="shared" si="9"/>
        <v>0.1272569526</v>
      </c>
      <c r="AE15" s="142">
        <f t="shared" si="10"/>
        <v>0.1318760947</v>
      </c>
      <c r="AF15" s="143">
        <f t="shared" si="11"/>
        <v>0.1386750491</v>
      </c>
      <c r="AG15" s="144">
        <f t="shared" si="12"/>
        <v>0.1299139605</v>
      </c>
      <c r="AH15" s="145">
        <f t="shared" si="13"/>
        <v>0.1106002527</v>
      </c>
      <c r="AI15" s="87"/>
      <c r="AJ15" s="87"/>
      <c r="AK15" s="160">
        <v>11.0</v>
      </c>
      <c r="AL15" s="123" t="s">
        <v>131</v>
      </c>
      <c r="AM15" s="162" t="s">
        <v>132</v>
      </c>
      <c r="AN15" s="147">
        <f>AB15*AHP!R4</f>
        <v>0.0277324271</v>
      </c>
      <c r="AO15" s="148">
        <f>AC15*AHP!R5</f>
        <v>0.02368141245</v>
      </c>
      <c r="AP15" s="149">
        <f>AD15*AHP!R6</f>
        <v>0.01075736495</v>
      </c>
      <c r="AQ15" s="150">
        <f>AE15*AHP!R7</f>
        <v>0.007503160764</v>
      </c>
      <c r="AR15" s="151">
        <f>AF15*AHP!R8</f>
        <v>0.01560920542</v>
      </c>
      <c r="AS15" s="152">
        <f>AG15*AHP!R9</f>
        <v>0.004739888492</v>
      </c>
      <c r="AT15" s="153">
        <f>AH15*AHP!R10</f>
        <v>0.03755434353</v>
      </c>
      <c r="AU15" s="154">
        <f>SQRT(SUMPRODUCT((AN15:AT15 - AN33:AT33)^2))</f>
        <v>0.05637692512</v>
      </c>
      <c r="AV15" s="155">
        <f>SQRT(SUMPRODUCT((AN15:AT15 - AN34:AT34)^2))</f>
        <v>0.01184070623</v>
      </c>
      <c r="AW15" s="156">
        <f t="shared" si="14"/>
        <v>0.1735725207</v>
      </c>
      <c r="AX15" s="163"/>
      <c r="AY15" s="158"/>
      <c r="AZ15" s="159"/>
      <c r="BA15" s="158"/>
      <c r="BB15" s="158"/>
      <c r="BC15" s="158"/>
      <c r="BD15" s="158"/>
      <c r="BE15" s="158"/>
    </row>
    <row r="16" ht="16.5" customHeight="1">
      <c r="A16" s="164" t="s">
        <v>133</v>
      </c>
      <c r="B16" s="3"/>
      <c r="C16" s="3"/>
      <c r="D16" s="3"/>
      <c r="E16" s="3"/>
      <c r="F16" s="3"/>
      <c r="G16" s="3"/>
      <c r="H16" s="3"/>
      <c r="I16" s="3"/>
      <c r="J16" s="4"/>
      <c r="K16" s="99"/>
      <c r="L16" s="165"/>
      <c r="M16" s="164" t="s">
        <v>133</v>
      </c>
      <c r="N16" s="3"/>
      <c r="O16" s="3"/>
      <c r="P16" s="3"/>
      <c r="Q16" s="3"/>
      <c r="R16" s="3"/>
      <c r="S16" s="3"/>
      <c r="T16" s="3"/>
      <c r="U16" s="3"/>
      <c r="V16" s="4"/>
      <c r="W16" s="87"/>
      <c r="X16" s="87"/>
      <c r="Y16" s="164" t="s">
        <v>133</v>
      </c>
      <c r="Z16" s="3"/>
      <c r="AA16" s="3"/>
      <c r="AB16" s="3"/>
      <c r="AC16" s="3"/>
      <c r="AD16" s="3"/>
      <c r="AE16" s="3"/>
      <c r="AF16" s="3"/>
      <c r="AG16" s="3"/>
      <c r="AH16" s="4"/>
      <c r="AI16" s="87"/>
      <c r="AJ16" s="87"/>
      <c r="AK16" s="164" t="s">
        <v>133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4"/>
      <c r="AX16" s="113"/>
      <c r="AY16" s="158"/>
      <c r="AZ16" s="159"/>
      <c r="BA16" s="158"/>
      <c r="BB16" s="158"/>
      <c r="BC16" s="158"/>
      <c r="BD16" s="158"/>
      <c r="BE16" s="158"/>
    </row>
    <row r="17">
      <c r="A17" s="160">
        <v>12.0</v>
      </c>
      <c r="B17" s="123" t="s">
        <v>134</v>
      </c>
      <c r="C17" s="162" t="s">
        <v>135</v>
      </c>
      <c r="D17" s="124" t="s">
        <v>101</v>
      </c>
      <c r="E17" s="125" t="s">
        <v>106</v>
      </c>
      <c r="F17" s="126" t="s">
        <v>110</v>
      </c>
      <c r="G17" s="127" t="s">
        <v>98</v>
      </c>
      <c r="H17" s="128" t="s">
        <v>107</v>
      </c>
      <c r="I17" s="129" t="s">
        <v>98</v>
      </c>
      <c r="J17" s="130" t="s">
        <v>103</v>
      </c>
      <c r="K17" s="99"/>
      <c r="L17" s="89"/>
      <c r="M17" s="160">
        <v>12.0</v>
      </c>
      <c r="N17" s="123" t="s">
        <v>134</v>
      </c>
      <c r="O17" s="162" t="s">
        <v>135</v>
      </c>
      <c r="P17" s="132">
        <f t="shared" ref="P17:P26" si="15">SWITCH(D17, "SB", 4, "B", 3, "KB", 2, "TB", 1, 0)</f>
        <v>3</v>
      </c>
      <c r="Q17" s="133">
        <f t="shared" ref="Q17:Q26" si="16">SWITCH(E17, "SL", 4, "L", 3, "KL", 2, "TL", 1, 0)</f>
        <v>3</v>
      </c>
      <c r="R17" s="166">
        <f t="shared" ref="R17:R26" si="17">SWITCH(F17, "SM", 4, "M", 3, "KM", 2, "TM", 1, 0)</f>
        <v>3</v>
      </c>
      <c r="S17" s="135">
        <f t="shared" ref="S17:S26" si="18">SWITCH(G17, "SB", 4, "B", 3, "KB", 2, "TB", 1, 0)</f>
        <v>4</v>
      </c>
      <c r="T17" s="167">
        <f t="shared" ref="T17:T26" si="19">SWITCH(H17, "ST", 4, "T", 3, "R", 2, "SR", 1, 0)</f>
        <v>3</v>
      </c>
      <c r="U17" s="168">
        <f t="shared" ref="U17:U26" si="20">SWITCH(I17, "SB", 4, "B", 3, "KB", 2, "TB", 1, 0)</f>
        <v>4</v>
      </c>
      <c r="V17" s="138">
        <f t="shared" ref="V17:V26" si="21">SWITCH(J17, "SS", 4, "S", 3, "KS", 2, "TS", 1, 0)</f>
        <v>4</v>
      </c>
      <c r="W17" s="87"/>
      <c r="X17" s="87"/>
      <c r="Y17" s="160">
        <v>12.0</v>
      </c>
      <c r="Z17" s="123" t="s">
        <v>134</v>
      </c>
      <c r="AA17" s="162" t="s">
        <v>135</v>
      </c>
      <c r="AB17" s="139">
        <f>P17/P32</f>
        <v>0.1901172752</v>
      </c>
      <c r="AC17" s="140">
        <f t="shared" ref="AC17:AC26" si="22">Q17/$Q$32</f>
        <v>0.234978135</v>
      </c>
      <c r="AD17" s="141">
        <f t="shared" ref="AD17:AD26" si="23">R17/$R$32</f>
        <v>0.1908854289</v>
      </c>
      <c r="AE17" s="142">
        <f t="shared" ref="AE17:AE26" si="24">S17/$S$32</f>
        <v>0.2637521894</v>
      </c>
      <c r="AF17" s="143">
        <f t="shared" ref="AF17:AF26" si="25">T17/$T$32</f>
        <v>0.2080125736</v>
      </c>
      <c r="AG17" s="144">
        <f t="shared" ref="AG17:AG26" si="26">U17/$U$32</f>
        <v>0.259827921</v>
      </c>
      <c r="AH17" s="145">
        <f t="shared" ref="AH17:AH26" si="27">V17/$V$32</f>
        <v>0.2212005054</v>
      </c>
      <c r="AI17" s="87"/>
      <c r="AJ17" s="87"/>
      <c r="AK17" s="160">
        <v>12.0</v>
      </c>
      <c r="AL17" s="123" t="s">
        <v>134</v>
      </c>
      <c r="AM17" s="162" t="s">
        <v>135</v>
      </c>
      <c r="AN17" s="147">
        <f>AB17*AHP!R4</f>
        <v>0.04159864066</v>
      </c>
      <c r="AO17" s="148">
        <f>AC17*AHP!R5</f>
        <v>0.03552211868</v>
      </c>
      <c r="AP17" s="149">
        <f>AD17*AHP!R6</f>
        <v>0.01613604743</v>
      </c>
      <c r="AQ17" s="150">
        <f>AE17*AHP!R7</f>
        <v>0.01500632153</v>
      </c>
      <c r="AR17" s="151">
        <f>AF17*AHP!R8</f>
        <v>0.02341380812</v>
      </c>
      <c r="AS17" s="152">
        <f>AG17*AHP!R9</f>
        <v>0.009479776985</v>
      </c>
      <c r="AT17" s="153">
        <f>AH17*AHP!R10</f>
        <v>0.07510868706</v>
      </c>
      <c r="AU17" s="154">
        <f>SQRT(SUMPRODUCT((AN17:AT17 - AN33:AT33)^2))</f>
        <v>0.02055033457</v>
      </c>
      <c r="AV17" s="155">
        <f>SQRT(SUMPRODUCT((AN17:AT17 - AN34:AT34)^2))</f>
        <v>0.04829095055</v>
      </c>
      <c r="AW17" s="156">
        <f t="shared" ref="AW17:AW26" si="28">AV17 / (AU17 + AV17)</f>
        <v>0.7014824094</v>
      </c>
      <c r="AX17" s="163"/>
      <c r="AY17" s="158"/>
      <c r="AZ17" s="159"/>
      <c r="BA17" s="158"/>
      <c r="BB17" s="158"/>
      <c r="BC17" s="158"/>
      <c r="BD17" s="158"/>
      <c r="BE17" s="158"/>
    </row>
    <row r="18">
      <c r="A18" s="160">
        <v>13.0</v>
      </c>
      <c r="B18" s="123" t="s">
        <v>136</v>
      </c>
      <c r="C18" s="162" t="s">
        <v>137</v>
      </c>
      <c r="D18" s="124" t="s">
        <v>98</v>
      </c>
      <c r="E18" s="125" t="s">
        <v>106</v>
      </c>
      <c r="F18" s="126" t="s">
        <v>100</v>
      </c>
      <c r="G18" s="127" t="s">
        <v>98</v>
      </c>
      <c r="H18" s="128" t="s">
        <v>107</v>
      </c>
      <c r="I18" s="129" t="s">
        <v>98</v>
      </c>
      <c r="J18" s="130" t="s">
        <v>103</v>
      </c>
      <c r="K18" s="99"/>
      <c r="L18" s="89"/>
      <c r="M18" s="160">
        <v>13.0</v>
      </c>
      <c r="N18" s="123" t="s">
        <v>136</v>
      </c>
      <c r="O18" s="162" t="s">
        <v>137</v>
      </c>
      <c r="P18" s="132">
        <f t="shared" si="15"/>
        <v>4</v>
      </c>
      <c r="Q18" s="133">
        <f t="shared" si="16"/>
        <v>3</v>
      </c>
      <c r="R18" s="166">
        <f t="shared" si="17"/>
        <v>4</v>
      </c>
      <c r="S18" s="135">
        <f t="shared" si="18"/>
        <v>4</v>
      </c>
      <c r="T18" s="167">
        <f t="shared" si="19"/>
        <v>3</v>
      </c>
      <c r="U18" s="168">
        <f t="shared" si="20"/>
        <v>4</v>
      </c>
      <c r="V18" s="138">
        <f t="shared" si="21"/>
        <v>4</v>
      </c>
      <c r="W18" s="87"/>
      <c r="X18" s="87"/>
      <c r="Y18" s="160">
        <v>13.0</v>
      </c>
      <c r="Z18" s="123" t="s">
        <v>136</v>
      </c>
      <c r="AA18" s="162" t="s">
        <v>137</v>
      </c>
      <c r="AB18" s="139">
        <f>P18/P32</f>
        <v>0.2534897002</v>
      </c>
      <c r="AC18" s="140">
        <f t="shared" si="22"/>
        <v>0.234978135</v>
      </c>
      <c r="AD18" s="141">
        <f t="shared" si="23"/>
        <v>0.2545139052</v>
      </c>
      <c r="AE18" s="142">
        <f t="shared" si="24"/>
        <v>0.2637521894</v>
      </c>
      <c r="AF18" s="143">
        <f t="shared" si="25"/>
        <v>0.2080125736</v>
      </c>
      <c r="AG18" s="144">
        <f t="shared" si="26"/>
        <v>0.259827921</v>
      </c>
      <c r="AH18" s="145">
        <f t="shared" si="27"/>
        <v>0.2212005054</v>
      </c>
      <c r="AI18" s="87"/>
      <c r="AJ18" s="87"/>
      <c r="AK18" s="160">
        <v>13.0</v>
      </c>
      <c r="AL18" s="123" t="s">
        <v>136</v>
      </c>
      <c r="AM18" s="162" t="s">
        <v>137</v>
      </c>
      <c r="AN18" s="147">
        <f>AB18*AHP!R4</f>
        <v>0.05546485421</v>
      </c>
      <c r="AO18" s="148">
        <f>AC18*AHP!R5</f>
        <v>0.03552211868</v>
      </c>
      <c r="AP18" s="149">
        <f>AD18*AHP!R6</f>
        <v>0.02151472991</v>
      </c>
      <c r="AQ18" s="150">
        <f>AE18*AHP!R7</f>
        <v>0.01500632153</v>
      </c>
      <c r="AR18" s="151">
        <f>AF18*AHP!R8</f>
        <v>0.02341380812</v>
      </c>
      <c r="AS18" s="152">
        <f>AG18*AHP!R9</f>
        <v>0.009479776985</v>
      </c>
      <c r="AT18" s="153">
        <f>AH18*AHP!R10</f>
        <v>0.07510868706</v>
      </c>
      <c r="AU18" s="154">
        <f>SQRT(SUMPRODUCT((AN18:AT18 - AN33:AT33)^2))</f>
        <v>0.01418147197</v>
      </c>
      <c r="AV18" s="155">
        <f>SQRT(SUMPRODUCT((AN18:AT18 - AN34:AT34)^2))</f>
        <v>0.05473227764</v>
      </c>
      <c r="AW18" s="156">
        <f t="shared" si="28"/>
        <v>0.7942141872</v>
      </c>
      <c r="AX18" s="163"/>
      <c r="AY18" s="158"/>
      <c r="AZ18" s="159"/>
      <c r="BA18" s="158"/>
      <c r="BB18" s="158"/>
      <c r="BC18" s="158"/>
      <c r="BD18" s="158"/>
      <c r="BE18" s="158"/>
    </row>
    <row r="19">
      <c r="A19" s="160">
        <v>14.0</v>
      </c>
      <c r="B19" s="161" t="s">
        <v>138</v>
      </c>
      <c r="C19" s="162" t="s">
        <v>139</v>
      </c>
      <c r="D19" s="124" t="s">
        <v>115</v>
      </c>
      <c r="E19" s="125" t="s">
        <v>113</v>
      </c>
      <c r="F19" s="126" t="s">
        <v>110</v>
      </c>
      <c r="G19" s="127" t="s">
        <v>115</v>
      </c>
      <c r="H19" s="128" t="s">
        <v>116</v>
      </c>
      <c r="I19" s="129" t="s">
        <v>101</v>
      </c>
      <c r="J19" s="130" t="s">
        <v>117</v>
      </c>
      <c r="K19" s="99"/>
      <c r="L19" s="89"/>
      <c r="M19" s="160">
        <v>14.0</v>
      </c>
      <c r="N19" s="161" t="s">
        <v>138</v>
      </c>
      <c r="O19" s="162" t="s">
        <v>139</v>
      </c>
      <c r="P19" s="132">
        <f t="shared" si="15"/>
        <v>2</v>
      </c>
      <c r="Q19" s="133">
        <f t="shared" si="16"/>
        <v>2</v>
      </c>
      <c r="R19" s="166">
        <f t="shared" si="17"/>
        <v>3</v>
      </c>
      <c r="S19" s="135">
        <f t="shared" si="18"/>
        <v>2</v>
      </c>
      <c r="T19" s="167">
        <f t="shared" si="19"/>
        <v>2</v>
      </c>
      <c r="U19" s="168">
        <f t="shared" si="20"/>
        <v>3</v>
      </c>
      <c r="V19" s="138">
        <f t="shared" si="21"/>
        <v>3</v>
      </c>
      <c r="W19" s="87"/>
      <c r="X19" s="87"/>
      <c r="Y19" s="160">
        <v>14.0</v>
      </c>
      <c r="Z19" s="161" t="s">
        <v>138</v>
      </c>
      <c r="AA19" s="162" t="s">
        <v>139</v>
      </c>
      <c r="AB19" s="139">
        <f>P19/P32</f>
        <v>0.1267448501</v>
      </c>
      <c r="AC19" s="140">
        <f t="shared" si="22"/>
        <v>0.15665209</v>
      </c>
      <c r="AD19" s="141">
        <f t="shared" si="23"/>
        <v>0.1908854289</v>
      </c>
      <c r="AE19" s="142">
        <f t="shared" si="24"/>
        <v>0.1318760947</v>
      </c>
      <c r="AF19" s="143">
        <f t="shared" si="25"/>
        <v>0.1386750491</v>
      </c>
      <c r="AG19" s="144">
        <f t="shared" si="26"/>
        <v>0.1948709407</v>
      </c>
      <c r="AH19" s="145">
        <f t="shared" si="27"/>
        <v>0.1659003791</v>
      </c>
      <c r="AI19" s="87"/>
      <c r="AJ19" s="87"/>
      <c r="AK19" s="160">
        <v>14.0</v>
      </c>
      <c r="AL19" s="161" t="s">
        <v>138</v>
      </c>
      <c r="AM19" s="162" t="s">
        <v>139</v>
      </c>
      <c r="AN19" s="147">
        <f>AB19*AHP!R4</f>
        <v>0.0277324271</v>
      </c>
      <c r="AO19" s="148">
        <f>AC19*AHP!R5</f>
        <v>0.02368141245</v>
      </c>
      <c r="AP19" s="149">
        <f>AD19*AHP!R6</f>
        <v>0.01613604743</v>
      </c>
      <c r="AQ19" s="150">
        <f>AE19*AHP!R7</f>
        <v>0.007503160764</v>
      </c>
      <c r="AR19" s="151">
        <f>AF19*AHP!R8</f>
        <v>0.01560920542</v>
      </c>
      <c r="AS19" s="152">
        <f>AG19*AHP!R9</f>
        <v>0.007109832739</v>
      </c>
      <c r="AT19" s="153">
        <f>AH19*AHP!R10</f>
        <v>0.0563315153</v>
      </c>
      <c r="AU19" s="154">
        <f>SQRT(SUMPRODUCT((AN19:AT19 - AN33:AT33)^2))</f>
        <v>0.04491069543</v>
      </c>
      <c r="AV19" s="155">
        <f>SQRT(SUMPRODUCT((AN19:AT19 - AN34:AT34)^2))</f>
        <v>0.02296369666</v>
      </c>
      <c r="AW19" s="156">
        <f t="shared" si="28"/>
        <v>0.3383263695</v>
      </c>
      <c r="AX19" s="163"/>
      <c r="AY19" s="158"/>
      <c r="AZ19" s="159"/>
      <c r="BA19" s="158"/>
      <c r="BB19" s="158"/>
      <c r="BC19" s="158"/>
      <c r="BD19" s="158"/>
      <c r="BE19" s="158"/>
    </row>
    <row r="20">
      <c r="A20" s="160">
        <v>15.0</v>
      </c>
      <c r="B20" s="161" t="s">
        <v>140</v>
      </c>
      <c r="C20" s="162" t="s">
        <v>141</v>
      </c>
      <c r="D20" s="124" t="s">
        <v>101</v>
      </c>
      <c r="E20" s="125" t="s">
        <v>113</v>
      </c>
      <c r="F20" s="126" t="s">
        <v>110</v>
      </c>
      <c r="G20" s="127" t="s">
        <v>101</v>
      </c>
      <c r="H20" s="128" t="s">
        <v>116</v>
      </c>
      <c r="I20" s="129" t="s">
        <v>101</v>
      </c>
      <c r="J20" s="130" t="s">
        <v>117</v>
      </c>
      <c r="K20" s="99"/>
      <c r="L20" s="89"/>
      <c r="M20" s="160">
        <v>15.0</v>
      </c>
      <c r="N20" s="161" t="s">
        <v>140</v>
      </c>
      <c r="O20" s="162" t="s">
        <v>141</v>
      </c>
      <c r="P20" s="132">
        <f t="shared" si="15"/>
        <v>3</v>
      </c>
      <c r="Q20" s="133">
        <f t="shared" si="16"/>
        <v>2</v>
      </c>
      <c r="R20" s="166">
        <f t="shared" si="17"/>
        <v>3</v>
      </c>
      <c r="S20" s="135">
        <f t="shared" si="18"/>
        <v>3</v>
      </c>
      <c r="T20" s="167">
        <f t="shared" si="19"/>
        <v>2</v>
      </c>
      <c r="U20" s="168">
        <f t="shared" si="20"/>
        <v>3</v>
      </c>
      <c r="V20" s="138">
        <f t="shared" si="21"/>
        <v>3</v>
      </c>
      <c r="W20" s="87"/>
      <c r="X20" s="87"/>
      <c r="Y20" s="160">
        <v>15.0</v>
      </c>
      <c r="Z20" s="161" t="s">
        <v>140</v>
      </c>
      <c r="AA20" s="162" t="s">
        <v>141</v>
      </c>
      <c r="AB20" s="139">
        <f>P20/P32</f>
        <v>0.1901172752</v>
      </c>
      <c r="AC20" s="140">
        <f t="shared" si="22"/>
        <v>0.15665209</v>
      </c>
      <c r="AD20" s="141">
        <f t="shared" si="23"/>
        <v>0.1908854289</v>
      </c>
      <c r="AE20" s="142">
        <f t="shared" si="24"/>
        <v>0.197814142</v>
      </c>
      <c r="AF20" s="143">
        <f t="shared" si="25"/>
        <v>0.1386750491</v>
      </c>
      <c r="AG20" s="144">
        <f t="shared" si="26"/>
        <v>0.1948709407</v>
      </c>
      <c r="AH20" s="145">
        <f t="shared" si="27"/>
        <v>0.1659003791</v>
      </c>
      <c r="AI20" s="87"/>
      <c r="AJ20" s="87"/>
      <c r="AK20" s="160">
        <v>15.0</v>
      </c>
      <c r="AL20" s="161" t="s">
        <v>140</v>
      </c>
      <c r="AM20" s="162" t="s">
        <v>141</v>
      </c>
      <c r="AN20" s="147">
        <f>AB20*AHP!R4</f>
        <v>0.04159864066</v>
      </c>
      <c r="AO20" s="148">
        <f>AC20*AHP!R5</f>
        <v>0.02368141245</v>
      </c>
      <c r="AP20" s="149">
        <f>AD20*AHP!R6</f>
        <v>0.01613604743</v>
      </c>
      <c r="AQ20" s="150">
        <f>AE20*AHP!R7</f>
        <v>0.01125474115</v>
      </c>
      <c r="AR20" s="151">
        <f>AF20*AHP!R8</f>
        <v>0.01560920542</v>
      </c>
      <c r="AS20" s="152">
        <f>AG20*AHP!R9</f>
        <v>0.007109832739</v>
      </c>
      <c r="AT20" s="153">
        <f>AH20*AHP!R10</f>
        <v>0.0563315153</v>
      </c>
      <c r="AU20" s="154">
        <f>SQRT(SUMPRODUCT((AN20:AT20 - AN33:AT33)^2))</f>
        <v>0.03738892702</v>
      </c>
      <c r="AV20" s="155">
        <f>SQRT(SUMPRODUCT((AN20:AT20 - AN34:AT34)^2))</f>
        <v>0.02708648368</v>
      </c>
      <c r="AW20" s="156">
        <f t="shared" si="28"/>
        <v>0.42010564</v>
      </c>
      <c r="AX20" s="163"/>
      <c r="AY20" s="158"/>
      <c r="AZ20" s="159"/>
      <c r="BA20" s="158"/>
      <c r="BB20" s="158"/>
      <c r="BC20" s="158"/>
      <c r="BD20" s="158"/>
      <c r="BE20" s="158"/>
    </row>
    <row r="21">
      <c r="A21" s="160">
        <v>16.0</v>
      </c>
      <c r="B21" s="161" t="s">
        <v>142</v>
      </c>
      <c r="C21" s="162" t="s">
        <v>143</v>
      </c>
      <c r="D21" s="124" t="s">
        <v>115</v>
      </c>
      <c r="E21" s="125" t="s">
        <v>113</v>
      </c>
      <c r="F21" s="126" t="s">
        <v>110</v>
      </c>
      <c r="G21" s="127" t="s">
        <v>101</v>
      </c>
      <c r="H21" s="128" t="s">
        <v>116</v>
      </c>
      <c r="I21" s="129" t="s">
        <v>101</v>
      </c>
      <c r="J21" s="130" t="s">
        <v>117</v>
      </c>
      <c r="K21" s="99"/>
      <c r="L21" s="89"/>
      <c r="M21" s="160">
        <v>16.0</v>
      </c>
      <c r="N21" s="161" t="s">
        <v>144</v>
      </c>
      <c r="O21" s="162" t="s">
        <v>143</v>
      </c>
      <c r="P21" s="132">
        <f t="shared" si="15"/>
        <v>2</v>
      </c>
      <c r="Q21" s="133">
        <f t="shared" si="16"/>
        <v>2</v>
      </c>
      <c r="R21" s="166">
        <f t="shared" si="17"/>
        <v>3</v>
      </c>
      <c r="S21" s="135">
        <f t="shared" si="18"/>
        <v>3</v>
      </c>
      <c r="T21" s="167">
        <f t="shared" si="19"/>
        <v>2</v>
      </c>
      <c r="U21" s="168">
        <f t="shared" si="20"/>
        <v>3</v>
      </c>
      <c r="V21" s="138">
        <f t="shared" si="21"/>
        <v>3</v>
      </c>
      <c r="W21" s="87"/>
      <c r="X21" s="87"/>
      <c r="Y21" s="160">
        <v>16.0</v>
      </c>
      <c r="Z21" s="161" t="s">
        <v>144</v>
      </c>
      <c r="AA21" s="162" t="s">
        <v>143</v>
      </c>
      <c r="AB21" s="139">
        <f>P21/P32</f>
        <v>0.1267448501</v>
      </c>
      <c r="AC21" s="140">
        <f t="shared" si="22"/>
        <v>0.15665209</v>
      </c>
      <c r="AD21" s="141">
        <f t="shared" si="23"/>
        <v>0.1908854289</v>
      </c>
      <c r="AE21" s="142">
        <f t="shared" si="24"/>
        <v>0.197814142</v>
      </c>
      <c r="AF21" s="143">
        <f t="shared" si="25"/>
        <v>0.1386750491</v>
      </c>
      <c r="AG21" s="144">
        <f t="shared" si="26"/>
        <v>0.1948709407</v>
      </c>
      <c r="AH21" s="145">
        <f t="shared" si="27"/>
        <v>0.1659003791</v>
      </c>
      <c r="AI21" s="87"/>
      <c r="AJ21" s="87"/>
      <c r="AK21" s="160">
        <v>16.0</v>
      </c>
      <c r="AL21" s="161" t="s">
        <v>144</v>
      </c>
      <c r="AM21" s="162" t="s">
        <v>143</v>
      </c>
      <c r="AN21" s="147">
        <f>AB21*AHP!R4</f>
        <v>0.0277324271</v>
      </c>
      <c r="AO21" s="148">
        <f>AC21*AHP!R5</f>
        <v>0.02368141245</v>
      </c>
      <c r="AP21" s="149">
        <f>AD21*AHP!R6</f>
        <v>0.01613604743</v>
      </c>
      <c r="AQ21" s="150">
        <f>AE21*AHP!R7</f>
        <v>0.01125474115</v>
      </c>
      <c r="AR21" s="151">
        <f>AF21*AHP!R8</f>
        <v>0.01560920542</v>
      </c>
      <c r="AS21" s="152">
        <f>AG21*AHP!R9</f>
        <v>0.007109832739</v>
      </c>
      <c r="AT21" s="153">
        <f>AH21*AHP!R10</f>
        <v>0.0563315153</v>
      </c>
      <c r="AU21" s="154">
        <f>SQRT(SUMPRODUCT((AN21:AT21 - AN33:AT33)^2))</f>
        <v>0.04443813113</v>
      </c>
      <c r="AV21" s="155">
        <f>SQRT(SUMPRODUCT((AN21:AT21 - AN34:AT34)^2))</f>
        <v>0.02326812669</v>
      </c>
      <c r="AW21" s="156">
        <f t="shared" si="28"/>
        <v>0.3436628672</v>
      </c>
      <c r="AX21" s="163"/>
      <c r="AY21" s="158"/>
      <c r="AZ21" s="159"/>
      <c r="BA21" s="158"/>
      <c r="BB21" s="158"/>
      <c r="BC21" s="158"/>
      <c r="BD21" s="158"/>
      <c r="BE21" s="158"/>
    </row>
    <row r="22">
      <c r="A22" s="160">
        <v>17.0</v>
      </c>
      <c r="B22" s="123" t="s">
        <v>145</v>
      </c>
      <c r="C22" s="162" t="s">
        <v>146</v>
      </c>
      <c r="D22" s="124" t="s">
        <v>101</v>
      </c>
      <c r="E22" s="125" t="s">
        <v>113</v>
      </c>
      <c r="F22" s="126" t="s">
        <v>110</v>
      </c>
      <c r="G22" s="127" t="s">
        <v>98</v>
      </c>
      <c r="H22" s="128" t="s">
        <v>107</v>
      </c>
      <c r="I22" s="129" t="s">
        <v>98</v>
      </c>
      <c r="J22" s="130" t="s">
        <v>103</v>
      </c>
      <c r="K22" s="99"/>
      <c r="L22" s="89"/>
      <c r="M22" s="160">
        <v>17.0</v>
      </c>
      <c r="N22" s="123" t="s">
        <v>145</v>
      </c>
      <c r="O22" s="162" t="s">
        <v>146</v>
      </c>
      <c r="P22" s="132">
        <f t="shared" si="15"/>
        <v>3</v>
      </c>
      <c r="Q22" s="133">
        <f t="shared" si="16"/>
        <v>2</v>
      </c>
      <c r="R22" s="166">
        <f t="shared" si="17"/>
        <v>3</v>
      </c>
      <c r="S22" s="135">
        <f t="shared" si="18"/>
        <v>4</v>
      </c>
      <c r="T22" s="167">
        <f t="shared" si="19"/>
        <v>3</v>
      </c>
      <c r="U22" s="168">
        <f t="shared" si="20"/>
        <v>4</v>
      </c>
      <c r="V22" s="138">
        <f t="shared" si="21"/>
        <v>4</v>
      </c>
      <c r="W22" s="87"/>
      <c r="X22" s="87"/>
      <c r="Y22" s="160">
        <v>17.0</v>
      </c>
      <c r="Z22" s="123" t="s">
        <v>145</v>
      </c>
      <c r="AA22" s="162" t="s">
        <v>146</v>
      </c>
      <c r="AB22" s="139">
        <f>P22/P32</f>
        <v>0.1901172752</v>
      </c>
      <c r="AC22" s="140">
        <f t="shared" si="22"/>
        <v>0.15665209</v>
      </c>
      <c r="AD22" s="141">
        <f t="shared" si="23"/>
        <v>0.1908854289</v>
      </c>
      <c r="AE22" s="142">
        <f t="shared" si="24"/>
        <v>0.2637521894</v>
      </c>
      <c r="AF22" s="143">
        <f t="shared" si="25"/>
        <v>0.2080125736</v>
      </c>
      <c r="AG22" s="144">
        <f t="shared" si="26"/>
        <v>0.259827921</v>
      </c>
      <c r="AH22" s="145">
        <f t="shared" si="27"/>
        <v>0.2212005054</v>
      </c>
      <c r="AI22" s="87"/>
      <c r="AJ22" s="87"/>
      <c r="AK22" s="160">
        <v>17.0</v>
      </c>
      <c r="AL22" s="123" t="s">
        <v>145</v>
      </c>
      <c r="AM22" s="162" t="s">
        <v>146</v>
      </c>
      <c r="AN22" s="147">
        <f>AB22*AHP!R4</f>
        <v>0.04159864066</v>
      </c>
      <c r="AO22" s="148">
        <f>AC22*AHP!R5</f>
        <v>0.02368141245</v>
      </c>
      <c r="AP22" s="149">
        <f>AD22*AHP!R6</f>
        <v>0.01613604743</v>
      </c>
      <c r="AQ22" s="150">
        <f>AE22*AHP!R7</f>
        <v>0.01500632153</v>
      </c>
      <c r="AR22" s="151">
        <f>AF22*AHP!R8</f>
        <v>0.02341380812</v>
      </c>
      <c r="AS22" s="152">
        <f>AG22*AHP!R9</f>
        <v>0.009479776985</v>
      </c>
      <c r="AT22" s="153">
        <f>AH22*AHP!R10</f>
        <v>0.07510868706</v>
      </c>
      <c r="AU22" s="154">
        <f>SQRT(SUMPRODUCT((AN22:AT22 - AN33:AT33)^2))</f>
        <v>0.02903314008</v>
      </c>
      <c r="AV22" s="155">
        <f>SQRT(SUMPRODUCT((AN22:AT22 - AN34:AT34)^2))</f>
        <v>0.043719663</v>
      </c>
      <c r="AW22" s="156">
        <f t="shared" si="28"/>
        <v>0.6009344129</v>
      </c>
      <c r="AX22" s="163"/>
      <c r="AY22" s="158"/>
      <c r="AZ22" s="159"/>
      <c r="BA22" s="158"/>
      <c r="BB22" s="158"/>
      <c r="BC22" s="158"/>
      <c r="BD22" s="158"/>
      <c r="BE22" s="158"/>
    </row>
    <row r="23">
      <c r="A23" s="160">
        <v>18.0</v>
      </c>
      <c r="B23" s="123" t="s">
        <v>147</v>
      </c>
      <c r="C23" s="162" t="s">
        <v>148</v>
      </c>
      <c r="D23" s="124" t="s">
        <v>101</v>
      </c>
      <c r="E23" s="125" t="s">
        <v>113</v>
      </c>
      <c r="F23" s="126" t="s">
        <v>110</v>
      </c>
      <c r="G23" s="127" t="s">
        <v>101</v>
      </c>
      <c r="H23" s="128" t="s">
        <v>116</v>
      </c>
      <c r="I23" s="129" t="s">
        <v>101</v>
      </c>
      <c r="J23" s="130" t="s">
        <v>117</v>
      </c>
      <c r="K23" s="99"/>
      <c r="L23" s="89"/>
      <c r="M23" s="160">
        <v>18.0</v>
      </c>
      <c r="N23" s="123" t="s">
        <v>147</v>
      </c>
      <c r="O23" s="162" t="s">
        <v>148</v>
      </c>
      <c r="P23" s="132">
        <f t="shared" si="15"/>
        <v>3</v>
      </c>
      <c r="Q23" s="133">
        <f t="shared" si="16"/>
        <v>2</v>
      </c>
      <c r="R23" s="166">
        <f t="shared" si="17"/>
        <v>3</v>
      </c>
      <c r="S23" s="135">
        <f t="shared" si="18"/>
        <v>3</v>
      </c>
      <c r="T23" s="167">
        <f t="shared" si="19"/>
        <v>2</v>
      </c>
      <c r="U23" s="168">
        <f t="shared" si="20"/>
        <v>3</v>
      </c>
      <c r="V23" s="138">
        <f t="shared" si="21"/>
        <v>3</v>
      </c>
      <c r="W23" s="87"/>
      <c r="X23" s="87"/>
      <c r="Y23" s="160">
        <v>18.0</v>
      </c>
      <c r="Z23" s="123" t="s">
        <v>147</v>
      </c>
      <c r="AA23" s="162" t="s">
        <v>148</v>
      </c>
      <c r="AB23" s="139">
        <f>P23/P32</f>
        <v>0.1901172752</v>
      </c>
      <c r="AC23" s="140">
        <f t="shared" si="22"/>
        <v>0.15665209</v>
      </c>
      <c r="AD23" s="141">
        <f t="shared" si="23"/>
        <v>0.1908854289</v>
      </c>
      <c r="AE23" s="142">
        <f t="shared" si="24"/>
        <v>0.197814142</v>
      </c>
      <c r="AF23" s="143">
        <f t="shared" si="25"/>
        <v>0.1386750491</v>
      </c>
      <c r="AG23" s="144">
        <f t="shared" si="26"/>
        <v>0.1948709407</v>
      </c>
      <c r="AH23" s="145">
        <f t="shared" si="27"/>
        <v>0.1659003791</v>
      </c>
      <c r="AI23" s="87"/>
      <c r="AJ23" s="87"/>
      <c r="AK23" s="160">
        <v>18.0</v>
      </c>
      <c r="AL23" s="123" t="s">
        <v>147</v>
      </c>
      <c r="AM23" s="162" t="s">
        <v>148</v>
      </c>
      <c r="AN23" s="147">
        <f>AB23*AHP!R4</f>
        <v>0.04159864066</v>
      </c>
      <c r="AO23" s="148">
        <f>AC23*AHP!R5</f>
        <v>0.02368141245</v>
      </c>
      <c r="AP23" s="149">
        <f>AD23*AHP!R6</f>
        <v>0.01613604743</v>
      </c>
      <c r="AQ23" s="150">
        <f>AE23*AHP!R7</f>
        <v>0.01125474115</v>
      </c>
      <c r="AR23" s="151">
        <f>AF23*AHP!R8</f>
        <v>0.01560920542</v>
      </c>
      <c r="AS23" s="152">
        <f>AG23*AHP!R9</f>
        <v>0.007109832739</v>
      </c>
      <c r="AT23" s="153">
        <f>AH23*AHP!R10</f>
        <v>0.0563315153</v>
      </c>
      <c r="AU23" s="154">
        <f>SQRT(SUMPRODUCT((AN23:AT23 - AN33:AT33)^2))</f>
        <v>0.03738892702</v>
      </c>
      <c r="AV23" s="155">
        <f>SQRT(SUMPRODUCT((AN23:AT23 - AN34:AT34)^2))</f>
        <v>0.02708648368</v>
      </c>
      <c r="AW23" s="156">
        <f t="shared" si="28"/>
        <v>0.42010564</v>
      </c>
      <c r="AX23" s="163"/>
      <c r="AY23" s="158"/>
      <c r="AZ23" s="159"/>
      <c r="BA23" s="158"/>
      <c r="BB23" s="158"/>
      <c r="BC23" s="158"/>
      <c r="BD23" s="158"/>
      <c r="BE23" s="158"/>
    </row>
    <row r="24">
      <c r="A24" s="160">
        <v>19.0</v>
      </c>
      <c r="B24" s="123" t="s">
        <v>149</v>
      </c>
      <c r="C24" s="162" t="s">
        <v>150</v>
      </c>
      <c r="D24" s="124" t="s">
        <v>101</v>
      </c>
      <c r="E24" s="125" t="s">
        <v>113</v>
      </c>
      <c r="F24" s="126" t="s">
        <v>100</v>
      </c>
      <c r="G24" s="127" t="s">
        <v>98</v>
      </c>
      <c r="H24" s="128" t="s">
        <v>116</v>
      </c>
      <c r="I24" s="129" t="s">
        <v>98</v>
      </c>
      <c r="J24" s="130" t="s">
        <v>103</v>
      </c>
      <c r="K24" s="99"/>
      <c r="L24" s="89"/>
      <c r="M24" s="160">
        <v>19.0</v>
      </c>
      <c r="N24" s="123" t="s">
        <v>149</v>
      </c>
      <c r="O24" s="162" t="s">
        <v>150</v>
      </c>
      <c r="P24" s="132">
        <f t="shared" si="15"/>
        <v>3</v>
      </c>
      <c r="Q24" s="133">
        <f t="shared" si="16"/>
        <v>2</v>
      </c>
      <c r="R24" s="166">
        <f t="shared" si="17"/>
        <v>4</v>
      </c>
      <c r="S24" s="135">
        <f t="shared" si="18"/>
        <v>4</v>
      </c>
      <c r="T24" s="167">
        <f t="shared" si="19"/>
        <v>2</v>
      </c>
      <c r="U24" s="168">
        <f t="shared" si="20"/>
        <v>4</v>
      </c>
      <c r="V24" s="138">
        <f t="shared" si="21"/>
        <v>4</v>
      </c>
      <c r="W24" s="87"/>
      <c r="X24" s="87"/>
      <c r="Y24" s="160">
        <v>19.0</v>
      </c>
      <c r="Z24" s="123" t="s">
        <v>149</v>
      </c>
      <c r="AA24" s="162" t="s">
        <v>150</v>
      </c>
      <c r="AB24" s="139">
        <f>P24/P32</f>
        <v>0.1901172752</v>
      </c>
      <c r="AC24" s="140">
        <f t="shared" si="22"/>
        <v>0.15665209</v>
      </c>
      <c r="AD24" s="141">
        <f t="shared" si="23"/>
        <v>0.2545139052</v>
      </c>
      <c r="AE24" s="142">
        <f t="shared" si="24"/>
        <v>0.2637521894</v>
      </c>
      <c r="AF24" s="143">
        <f t="shared" si="25"/>
        <v>0.1386750491</v>
      </c>
      <c r="AG24" s="144">
        <f t="shared" si="26"/>
        <v>0.259827921</v>
      </c>
      <c r="AH24" s="145">
        <f t="shared" si="27"/>
        <v>0.2212005054</v>
      </c>
      <c r="AI24" s="87"/>
      <c r="AJ24" s="87"/>
      <c r="AK24" s="160">
        <v>19.0</v>
      </c>
      <c r="AL24" s="123" t="s">
        <v>149</v>
      </c>
      <c r="AM24" s="162" t="s">
        <v>150</v>
      </c>
      <c r="AN24" s="147">
        <f>AB24*AHP!R4</f>
        <v>0.04159864066</v>
      </c>
      <c r="AO24" s="148">
        <f>AC24*AHP!R5</f>
        <v>0.02368141245</v>
      </c>
      <c r="AP24" s="149">
        <f>AD24*AHP!R6</f>
        <v>0.02151472991</v>
      </c>
      <c r="AQ24" s="150">
        <f>AE24*AHP!R7</f>
        <v>0.01500632153</v>
      </c>
      <c r="AR24" s="151">
        <f>AF24*AHP!R8</f>
        <v>0.01560920542</v>
      </c>
      <c r="AS24" s="152">
        <f>AG24*AHP!R9</f>
        <v>0.009479776985</v>
      </c>
      <c r="AT24" s="153">
        <f>AH24*AHP!R10</f>
        <v>0.07510868706</v>
      </c>
      <c r="AU24" s="154">
        <f>SQRT(SUMPRODUCT((AN24:AT24 - AN33:AT33)^2))</f>
        <v>0.03157100676</v>
      </c>
      <c r="AV24" s="155">
        <f>SQRT(SUMPRODUCT((AN24:AT24 - AN34:AT34)^2))</f>
        <v>0.04401463149</v>
      </c>
      <c r="AW24" s="156">
        <f t="shared" si="28"/>
        <v>0.5823147427</v>
      </c>
      <c r="AX24" s="163"/>
      <c r="AY24" s="158"/>
      <c r="AZ24" s="159"/>
      <c r="BA24" s="158"/>
      <c r="BB24" s="158"/>
      <c r="BC24" s="158"/>
      <c r="BD24" s="158"/>
      <c r="BE24" s="158"/>
    </row>
    <row r="25">
      <c r="A25" s="160">
        <v>20.0</v>
      </c>
      <c r="B25" s="123" t="s">
        <v>151</v>
      </c>
      <c r="C25" s="162" t="s">
        <v>152</v>
      </c>
      <c r="D25" s="124" t="s">
        <v>101</v>
      </c>
      <c r="E25" s="125" t="s">
        <v>113</v>
      </c>
      <c r="F25" s="126" t="s">
        <v>110</v>
      </c>
      <c r="G25" s="127" t="s">
        <v>98</v>
      </c>
      <c r="H25" s="128" t="s">
        <v>107</v>
      </c>
      <c r="I25" s="129" t="s">
        <v>98</v>
      </c>
      <c r="J25" s="130" t="s">
        <v>103</v>
      </c>
      <c r="K25" s="99"/>
      <c r="L25" s="89"/>
      <c r="M25" s="160">
        <v>20.0</v>
      </c>
      <c r="N25" s="123" t="s">
        <v>151</v>
      </c>
      <c r="O25" s="162" t="s">
        <v>152</v>
      </c>
      <c r="P25" s="132">
        <f t="shared" si="15"/>
        <v>3</v>
      </c>
      <c r="Q25" s="133">
        <f t="shared" si="16"/>
        <v>2</v>
      </c>
      <c r="R25" s="166">
        <f t="shared" si="17"/>
        <v>3</v>
      </c>
      <c r="S25" s="135">
        <f t="shared" si="18"/>
        <v>4</v>
      </c>
      <c r="T25" s="167">
        <f t="shared" si="19"/>
        <v>3</v>
      </c>
      <c r="U25" s="168">
        <f t="shared" si="20"/>
        <v>4</v>
      </c>
      <c r="V25" s="138">
        <f t="shared" si="21"/>
        <v>4</v>
      </c>
      <c r="W25" s="87"/>
      <c r="X25" s="87"/>
      <c r="Y25" s="160">
        <v>20.0</v>
      </c>
      <c r="Z25" s="123" t="s">
        <v>151</v>
      </c>
      <c r="AA25" s="162" t="s">
        <v>152</v>
      </c>
      <c r="AB25" s="139">
        <f>P25/P32</f>
        <v>0.1901172752</v>
      </c>
      <c r="AC25" s="140">
        <f t="shared" si="22"/>
        <v>0.15665209</v>
      </c>
      <c r="AD25" s="141">
        <f t="shared" si="23"/>
        <v>0.1908854289</v>
      </c>
      <c r="AE25" s="142">
        <f t="shared" si="24"/>
        <v>0.2637521894</v>
      </c>
      <c r="AF25" s="143">
        <f t="shared" si="25"/>
        <v>0.2080125736</v>
      </c>
      <c r="AG25" s="144">
        <f t="shared" si="26"/>
        <v>0.259827921</v>
      </c>
      <c r="AH25" s="145">
        <f t="shared" si="27"/>
        <v>0.2212005054</v>
      </c>
      <c r="AI25" s="87"/>
      <c r="AJ25" s="87"/>
      <c r="AK25" s="160">
        <v>20.0</v>
      </c>
      <c r="AL25" s="123" t="s">
        <v>151</v>
      </c>
      <c r="AM25" s="162" t="s">
        <v>152</v>
      </c>
      <c r="AN25" s="147">
        <f>AB25*AHP!R4</f>
        <v>0.04159864066</v>
      </c>
      <c r="AO25" s="148">
        <f>AC25*AHP!R5</f>
        <v>0.02368141245</v>
      </c>
      <c r="AP25" s="149">
        <f>AD25*AHP!R6</f>
        <v>0.01613604743</v>
      </c>
      <c r="AQ25" s="150">
        <f>AE25*AHP!R7</f>
        <v>0.01500632153</v>
      </c>
      <c r="AR25" s="151">
        <f>AF25*AHP!R8</f>
        <v>0.02341380812</v>
      </c>
      <c r="AS25" s="152">
        <f>AG25*AHP!R9</f>
        <v>0.009479776985</v>
      </c>
      <c r="AT25" s="153">
        <f>AH25*AHP!R10</f>
        <v>0.07510868706</v>
      </c>
      <c r="AU25" s="154">
        <f>SQRT(SUMPRODUCT((AN25:AT25 - AN33:AT33)^2))</f>
        <v>0.02903314008</v>
      </c>
      <c r="AV25" s="155">
        <f>SQRT(SUMPRODUCT((AN25:AT25 - AN34:AT34)^2))</f>
        <v>0.043719663</v>
      </c>
      <c r="AW25" s="156">
        <f t="shared" si="28"/>
        <v>0.6009344129</v>
      </c>
      <c r="AX25" s="163"/>
      <c r="AY25" s="158"/>
      <c r="AZ25" s="159"/>
      <c r="BA25" s="158"/>
      <c r="BB25" s="158"/>
      <c r="BC25" s="158"/>
      <c r="BD25" s="158"/>
      <c r="BE25" s="158"/>
    </row>
    <row r="26">
      <c r="A26" s="160">
        <v>21.0</v>
      </c>
      <c r="B26" s="123" t="s">
        <v>153</v>
      </c>
      <c r="C26" s="162" t="s">
        <v>154</v>
      </c>
      <c r="D26" s="124" t="s">
        <v>101</v>
      </c>
      <c r="E26" s="125" t="s">
        <v>113</v>
      </c>
      <c r="F26" s="126" t="s">
        <v>100</v>
      </c>
      <c r="G26" s="127" t="s">
        <v>101</v>
      </c>
      <c r="H26" s="128" t="s">
        <v>107</v>
      </c>
      <c r="I26" s="129" t="s">
        <v>98</v>
      </c>
      <c r="J26" s="130" t="s">
        <v>103</v>
      </c>
      <c r="K26" s="99"/>
      <c r="L26" s="89"/>
      <c r="M26" s="160">
        <v>21.0</v>
      </c>
      <c r="N26" s="123" t="s">
        <v>153</v>
      </c>
      <c r="O26" s="162" t="s">
        <v>154</v>
      </c>
      <c r="P26" s="132">
        <f t="shared" si="15"/>
        <v>3</v>
      </c>
      <c r="Q26" s="133">
        <f t="shared" si="16"/>
        <v>2</v>
      </c>
      <c r="R26" s="166">
        <f t="shared" si="17"/>
        <v>4</v>
      </c>
      <c r="S26" s="135">
        <f t="shared" si="18"/>
        <v>3</v>
      </c>
      <c r="T26" s="167">
        <f t="shared" si="19"/>
        <v>3</v>
      </c>
      <c r="U26" s="168">
        <f t="shared" si="20"/>
        <v>4</v>
      </c>
      <c r="V26" s="138">
        <f t="shared" si="21"/>
        <v>4</v>
      </c>
      <c r="W26" s="87"/>
      <c r="X26" s="87"/>
      <c r="Y26" s="160">
        <v>21.0</v>
      </c>
      <c r="Z26" s="123" t="s">
        <v>153</v>
      </c>
      <c r="AA26" s="162" t="s">
        <v>154</v>
      </c>
      <c r="AB26" s="139">
        <f>P26/P32</f>
        <v>0.1901172752</v>
      </c>
      <c r="AC26" s="140">
        <f t="shared" si="22"/>
        <v>0.15665209</v>
      </c>
      <c r="AD26" s="141">
        <f t="shared" si="23"/>
        <v>0.2545139052</v>
      </c>
      <c r="AE26" s="142">
        <f t="shared" si="24"/>
        <v>0.197814142</v>
      </c>
      <c r="AF26" s="143">
        <f t="shared" si="25"/>
        <v>0.2080125736</v>
      </c>
      <c r="AG26" s="144">
        <f t="shared" si="26"/>
        <v>0.259827921</v>
      </c>
      <c r="AH26" s="145">
        <f t="shared" si="27"/>
        <v>0.2212005054</v>
      </c>
      <c r="AI26" s="87"/>
      <c r="AJ26" s="87"/>
      <c r="AK26" s="160">
        <v>21.0</v>
      </c>
      <c r="AL26" s="123" t="s">
        <v>153</v>
      </c>
      <c r="AM26" s="162" t="s">
        <v>154</v>
      </c>
      <c r="AN26" s="147">
        <f>AB26*AHP!R4</f>
        <v>0.04159864066</v>
      </c>
      <c r="AO26" s="148">
        <f>AC26*AHP!R5</f>
        <v>0.02368141245</v>
      </c>
      <c r="AP26" s="149">
        <f>AD26*AHP!R6</f>
        <v>0.02151472991</v>
      </c>
      <c r="AQ26" s="150">
        <f>AE26*AHP!R7</f>
        <v>0.01125474115</v>
      </c>
      <c r="AR26" s="151">
        <f>AF26*AHP!R8</f>
        <v>0.02341380812</v>
      </c>
      <c r="AS26" s="152">
        <f>AG26*AHP!R9</f>
        <v>0.009479776985</v>
      </c>
      <c r="AT26" s="153">
        <f>AH26*AHP!R10</f>
        <v>0.07510868706</v>
      </c>
      <c r="AU26" s="154">
        <f>SQRT(SUMPRODUCT((AN26:AT26 - AN53:AT53)^2))</f>
        <v>0.09570891524</v>
      </c>
      <c r="AV26" s="155">
        <f>SQRT(SUMPRODUCT((AN26:AT26 - AN34:AT34)^2))</f>
        <v>0.04422642358</v>
      </c>
      <c r="AW26" s="156">
        <f t="shared" si="28"/>
        <v>0.3160489977</v>
      </c>
      <c r="AX26" s="163"/>
      <c r="AY26" s="158"/>
      <c r="AZ26" s="159"/>
      <c r="BA26" s="158"/>
      <c r="BB26" s="158"/>
      <c r="BC26" s="158"/>
      <c r="BD26" s="158"/>
      <c r="BE26" s="158"/>
    </row>
    <row r="27" ht="17.25" customHeight="1">
      <c r="A27" s="164" t="s">
        <v>155</v>
      </c>
      <c r="B27" s="3"/>
      <c r="C27" s="3"/>
      <c r="D27" s="3"/>
      <c r="E27" s="3"/>
      <c r="F27" s="3"/>
      <c r="G27" s="3"/>
      <c r="H27" s="3"/>
      <c r="I27" s="3"/>
      <c r="J27" s="4"/>
      <c r="K27" s="99"/>
      <c r="L27" s="165"/>
      <c r="M27" s="164" t="s">
        <v>155</v>
      </c>
      <c r="N27" s="3"/>
      <c r="O27" s="3"/>
      <c r="P27" s="3"/>
      <c r="Q27" s="3"/>
      <c r="R27" s="3"/>
      <c r="S27" s="3"/>
      <c r="T27" s="3"/>
      <c r="U27" s="3"/>
      <c r="V27" s="4"/>
      <c r="W27" s="87"/>
      <c r="X27" s="87"/>
      <c r="Y27" s="164" t="s">
        <v>155</v>
      </c>
      <c r="Z27" s="3"/>
      <c r="AA27" s="3"/>
      <c r="AB27" s="3"/>
      <c r="AC27" s="3"/>
      <c r="AD27" s="3"/>
      <c r="AE27" s="3"/>
      <c r="AF27" s="3"/>
      <c r="AG27" s="3"/>
      <c r="AH27" s="4"/>
      <c r="AI27" s="87"/>
      <c r="AJ27" s="87"/>
      <c r="AK27" s="164" t="s">
        <v>155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4"/>
      <c r="AX27" s="113"/>
      <c r="AY27" s="158"/>
      <c r="AZ27" s="159"/>
      <c r="BA27" s="158"/>
      <c r="BB27" s="158"/>
      <c r="BC27" s="158"/>
      <c r="BD27" s="158"/>
      <c r="BE27" s="158"/>
    </row>
    <row r="28">
      <c r="A28" s="160">
        <v>22.0</v>
      </c>
      <c r="B28" s="123" t="s">
        <v>156</v>
      </c>
      <c r="C28" s="162" t="s">
        <v>157</v>
      </c>
      <c r="D28" s="124" t="s">
        <v>115</v>
      </c>
      <c r="E28" s="125" t="s">
        <v>158</v>
      </c>
      <c r="F28" s="126" t="s">
        <v>110</v>
      </c>
      <c r="G28" s="127" t="s">
        <v>101</v>
      </c>
      <c r="H28" s="128" t="s">
        <v>116</v>
      </c>
      <c r="I28" s="129" t="s">
        <v>101</v>
      </c>
      <c r="J28" s="130" t="s">
        <v>117</v>
      </c>
      <c r="K28" s="99"/>
      <c r="L28" s="89"/>
      <c r="M28" s="160">
        <v>22.0</v>
      </c>
      <c r="N28" s="123" t="s">
        <v>156</v>
      </c>
      <c r="O28" s="162" t="s">
        <v>157</v>
      </c>
      <c r="P28" s="132">
        <f t="shared" ref="P28:P31" si="29">SWITCH(D28, "SB", 4, "B", 3, "KB", 2, "TB", 1, 0)</f>
        <v>2</v>
      </c>
      <c r="Q28" s="133">
        <f t="shared" ref="Q28:Q31" si="30">SWITCH(E28, "SL", 4, "L", 3, "KL", 2, "TL", 1, 0)</f>
        <v>1</v>
      </c>
      <c r="R28" s="166">
        <f t="shared" ref="R28:R31" si="31">SWITCH(F28, "SM", 4, "M", 3, "KM", 2, "TM", 1, 0)</f>
        <v>3</v>
      </c>
      <c r="S28" s="169">
        <f t="shared" ref="S28:S31" si="32">SWITCH(G28, "SB", 4, "B", 3, "KB", 2, "TB", 1, 0)</f>
        <v>3</v>
      </c>
      <c r="T28" s="136">
        <f t="shared" ref="T28:T31" si="33">SWITCH(H28, "ST", 4, "T", 3, "R", 2, "SR", 1, 0)</f>
        <v>2</v>
      </c>
      <c r="U28" s="137">
        <f t="shared" ref="U28:U31" si="34">SWITCH(I28, "SB", 4, "B", 3, "KB", 2, "TB", 1, 0)</f>
        <v>3</v>
      </c>
      <c r="V28" s="138">
        <f t="shared" ref="V28:V31" si="35">SWITCH(J28, "SS", 4, "S", 3, "KS", 2, "TS", 1, 0)</f>
        <v>3</v>
      </c>
      <c r="W28" s="87"/>
      <c r="X28" s="87"/>
      <c r="Y28" s="160">
        <v>22.0</v>
      </c>
      <c r="Z28" s="123" t="s">
        <v>156</v>
      </c>
      <c r="AA28" s="162" t="s">
        <v>157</v>
      </c>
      <c r="AB28" s="139">
        <f>P28/P32</f>
        <v>0.1267448501</v>
      </c>
      <c r="AC28" s="140">
        <f t="shared" ref="AC28:AC31" si="36">Q28/$Q$32</f>
        <v>0.078326045</v>
      </c>
      <c r="AD28" s="141">
        <f t="shared" ref="AD28:AD31" si="37">R28/$R$32</f>
        <v>0.1908854289</v>
      </c>
      <c r="AE28" s="142">
        <f>S28/S32</f>
        <v>0.197814142</v>
      </c>
      <c r="AF28" s="143">
        <f t="shared" ref="AF28:AF31" si="38">T28/$T$32</f>
        <v>0.1386750491</v>
      </c>
      <c r="AG28" s="144">
        <f t="shared" ref="AG28:AG31" si="39">U28/$U$32</f>
        <v>0.1948709407</v>
      </c>
      <c r="AH28" s="145">
        <f t="shared" ref="AH28:AH31" si="40">V28/$V$32</f>
        <v>0.1659003791</v>
      </c>
      <c r="AI28" s="87"/>
      <c r="AJ28" s="87"/>
      <c r="AK28" s="160">
        <v>22.0</v>
      </c>
      <c r="AL28" s="123" t="s">
        <v>156</v>
      </c>
      <c r="AM28" s="162" t="s">
        <v>157</v>
      </c>
      <c r="AN28" s="147">
        <f>AB28*AHP!R4</f>
        <v>0.0277324271</v>
      </c>
      <c r="AO28" s="148">
        <f>AC28*AHP!R5</f>
        <v>0.01184070623</v>
      </c>
      <c r="AP28" s="149">
        <f>AD28*AHP!R6</f>
        <v>0.01613604743</v>
      </c>
      <c r="AQ28" s="150">
        <f>AE28*AHP!R7</f>
        <v>0.01125474115</v>
      </c>
      <c r="AR28" s="151">
        <f>AF28*AHP!R8</f>
        <v>0.01560920542</v>
      </c>
      <c r="AS28" s="152">
        <f>AG28*AHP!R9</f>
        <v>0.007109832739</v>
      </c>
      <c r="AT28" s="153">
        <f>AH28*AHP!R10</f>
        <v>0.0563315153</v>
      </c>
      <c r="AU28" s="154">
        <f>SQRT(SUMPRODUCT((AN28:AT28 - AN33:AT33)^2))</f>
        <v>0.05172774032</v>
      </c>
      <c r="AV28" s="155">
        <f t="shared" ref="AV28:AV31" si="41">SQRT(SUMPRODUCT((AN28:AT28 - AN34:AT34)^2))</f>
        <v>0.0200300623</v>
      </c>
      <c r="AW28" s="156">
        <f t="shared" ref="AW28:AW31" si="42">AV28 / (AU28 + AV28)</f>
        <v>0.2791342763</v>
      </c>
      <c r="AX28" s="163"/>
      <c r="AY28" s="158"/>
      <c r="AZ28" s="159"/>
      <c r="BA28" s="158"/>
      <c r="BB28" s="158"/>
      <c r="BC28" s="158"/>
      <c r="BD28" s="158"/>
      <c r="BE28" s="158"/>
    </row>
    <row r="29">
      <c r="A29" s="160">
        <v>23.0</v>
      </c>
      <c r="B29" s="161" t="s">
        <v>159</v>
      </c>
      <c r="C29" s="162" t="s">
        <v>160</v>
      </c>
      <c r="D29" s="124" t="s">
        <v>101</v>
      </c>
      <c r="E29" s="125" t="s">
        <v>113</v>
      </c>
      <c r="F29" s="126" t="s">
        <v>110</v>
      </c>
      <c r="G29" s="127" t="s">
        <v>101</v>
      </c>
      <c r="H29" s="128" t="s">
        <v>107</v>
      </c>
      <c r="I29" s="129" t="s">
        <v>101</v>
      </c>
      <c r="J29" s="130" t="s">
        <v>103</v>
      </c>
      <c r="K29" s="99"/>
      <c r="L29" s="89"/>
      <c r="M29" s="160">
        <v>23.0</v>
      </c>
      <c r="N29" s="161" t="s">
        <v>159</v>
      </c>
      <c r="O29" s="162" t="s">
        <v>160</v>
      </c>
      <c r="P29" s="132">
        <f t="shared" si="29"/>
        <v>3</v>
      </c>
      <c r="Q29" s="133">
        <f t="shared" si="30"/>
        <v>2</v>
      </c>
      <c r="R29" s="166">
        <f t="shared" si="31"/>
        <v>3</v>
      </c>
      <c r="S29" s="169">
        <f t="shared" si="32"/>
        <v>3</v>
      </c>
      <c r="T29" s="136">
        <f t="shared" si="33"/>
        <v>3</v>
      </c>
      <c r="U29" s="137">
        <f t="shared" si="34"/>
        <v>3</v>
      </c>
      <c r="V29" s="138">
        <f t="shared" si="35"/>
        <v>4</v>
      </c>
      <c r="W29" s="87"/>
      <c r="X29" s="87"/>
      <c r="Y29" s="160">
        <v>23.0</v>
      </c>
      <c r="Z29" s="161" t="s">
        <v>159</v>
      </c>
      <c r="AA29" s="162" t="s">
        <v>160</v>
      </c>
      <c r="AB29" s="139">
        <f>P29/P32</f>
        <v>0.1901172752</v>
      </c>
      <c r="AC29" s="140">
        <f t="shared" si="36"/>
        <v>0.15665209</v>
      </c>
      <c r="AD29" s="141">
        <f t="shared" si="37"/>
        <v>0.1908854289</v>
      </c>
      <c r="AE29" s="142">
        <f>S29/S32</f>
        <v>0.197814142</v>
      </c>
      <c r="AF29" s="143">
        <f t="shared" si="38"/>
        <v>0.2080125736</v>
      </c>
      <c r="AG29" s="144">
        <f t="shared" si="39"/>
        <v>0.1948709407</v>
      </c>
      <c r="AH29" s="145">
        <f t="shared" si="40"/>
        <v>0.2212005054</v>
      </c>
      <c r="AI29" s="87"/>
      <c r="AJ29" s="87"/>
      <c r="AK29" s="160">
        <v>23.0</v>
      </c>
      <c r="AL29" s="161" t="s">
        <v>159</v>
      </c>
      <c r="AM29" s="162" t="s">
        <v>160</v>
      </c>
      <c r="AN29" s="147">
        <f>AB29*AHP!R4</f>
        <v>0.04159864066</v>
      </c>
      <c r="AO29" s="148">
        <f>AC29*AHP!R5</f>
        <v>0.02368141245</v>
      </c>
      <c r="AP29" s="149">
        <f>AD29*AHP!R6</f>
        <v>0.01613604743</v>
      </c>
      <c r="AQ29" s="150">
        <f>AE29*AHP!R7</f>
        <v>0.01125474115</v>
      </c>
      <c r="AR29" s="151">
        <f>AF29*AHP!R8</f>
        <v>0.02341380812</v>
      </c>
      <c r="AS29" s="152">
        <f>AG29*AHP!R9</f>
        <v>0.007109832739</v>
      </c>
      <c r="AT29" s="153">
        <f>AH29*AHP!R10</f>
        <v>0.07510868706</v>
      </c>
      <c r="AU29" s="154">
        <f>SQRT(SUMPRODUCT((AN29:AT29 - AN33:AT33)^2))</f>
        <v>0.02937029475</v>
      </c>
      <c r="AV29" s="155">
        <f t="shared" si="41"/>
        <v>0.09443711362</v>
      </c>
      <c r="AW29" s="156">
        <f t="shared" si="42"/>
        <v>0.7627743353</v>
      </c>
      <c r="AX29" s="163"/>
      <c r="AY29" s="158"/>
      <c r="AZ29" s="159"/>
      <c r="BA29" s="158"/>
      <c r="BB29" s="158"/>
      <c r="BC29" s="158"/>
      <c r="BD29" s="158"/>
      <c r="BE29" s="158"/>
    </row>
    <row r="30">
      <c r="A30" s="160">
        <v>24.0</v>
      </c>
      <c r="B30" s="123" t="s">
        <v>161</v>
      </c>
      <c r="C30" s="162" t="s">
        <v>162</v>
      </c>
      <c r="D30" s="124" t="s">
        <v>101</v>
      </c>
      <c r="E30" s="125" t="s">
        <v>113</v>
      </c>
      <c r="F30" s="126" t="s">
        <v>110</v>
      </c>
      <c r="G30" s="127" t="s">
        <v>101</v>
      </c>
      <c r="H30" s="128" t="s">
        <v>107</v>
      </c>
      <c r="I30" s="129" t="s">
        <v>101</v>
      </c>
      <c r="J30" s="130" t="s">
        <v>103</v>
      </c>
      <c r="K30" s="99"/>
      <c r="L30" s="89"/>
      <c r="M30" s="160">
        <v>24.0</v>
      </c>
      <c r="N30" s="123" t="s">
        <v>161</v>
      </c>
      <c r="O30" s="162" t="s">
        <v>162</v>
      </c>
      <c r="P30" s="132">
        <f t="shared" si="29"/>
        <v>3</v>
      </c>
      <c r="Q30" s="133">
        <f t="shared" si="30"/>
        <v>2</v>
      </c>
      <c r="R30" s="166">
        <f t="shared" si="31"/>
        <v>3</v>
      </c>
      <c r="S30" s="169">
        <f t="shared" si="32"/>
        <v>3</v>
      </c>
      <c r="T30" s="136">
        <f t="shared" si="33"/>
        <v>3</v>
      </c>
      <c r="U30" s="137">
        <f t="shared" si="34"/>
        <v>3</v>
      </c>
      <c r="V30" s="138">
        <f t="shared" si="35"/>
        <v>4</v>
      </c>
      <c r="W30" s="87"/>
      <c r="X30" s="87"/>
      <c r="Y30" s="160">
        <v>24.0</v>
      </c>
      <c r="Z30" s="123" t="s">
        <v>161</v>
      </c>
      <c r="AA30" s="162" t="s">
        <v>162</v>
      </c>
      <c r="AB30" s="139">
        <f>P30/P32</f>
        <v>0.1901172752</v>
      </c>
      <c r="AC30" s="140">
        <f t="shared" si="36"/>
        <v>0.15665209</v>
      </c>
      <c r="AD30" s="141">
        <f t="shared" si="37"/>
        <v>0.1908854289</v>
      </c>
      <c r="AE30" s="142">
        <f>S30/S32</f>
        <v>0.197814142</v>
      </c>
      <c r="AF30" s="143">
        <f t="shared" si="38"/>
        <v>0.2080125736</v>
      </c>
      <c r="AG30" s="144">
        <f t="shared" si="39"/>
        <v>0.1948709407</v>
      </c>
      <c r="AH30" s="145">
        <f t="shared" si="40"/>
        <v>0.2212005054</v>
      </c>
      <c r="AI30" s="87"/>
      <c r="AJ30" s="87"/>
      <c r="AK30" s="160">
        <v>24.0</v>
      </c>
      <c r="AL30" s="123" t="s">
        <v>161</v>
      </c>
      <c r="AM30" s="162" t="s">
        <v>162</v>
      </c>
      <c r="AN30" s="147">
        <f>AB30*AHP!R4</f>
        <v>0.04159864066</v>
      </c>
      <c r="AO30" s="148">
        <f>AC30*AHP!R5</f>
        <v>0.02368141245</v>
      </c>
      <c r="AP30" s="149">
        <f>AD30*AHP!R6</f>
        <v>0.01613604743</v>
      </c>
      <c r="AQ30" s="150">
        <f>AE30*AHP!R7</f>
        <v>0.01125474115</v>
      </c>
      <c r="AR30" s="151">
        <f>AF30*AHP!R8</f>
        <v>0.02341380812</v>
      </c>
      <c r="AS30" s="152">
        <f>AG30*AHP!R9</f>
        <v>0.007109832739</v>
      </c>
      <c r="AT30" s="153">
        <f>AH30*AHP!R10</f>
        <v>0.07510868706</v>
      </c>
      <c r="AU30" s="154">
        <f>SQRT(SUMPRODUCT((AN30:AT30 - AN33:AT33)^2))</f>
        <v>0.02937029475</v>
      </c>
      <c r="AV30" s="155">
        <f t="shared" si="41"/>
        <v>0.09443711362</v>
      </c>
      <c r="AW30" s="156">
        <f t="shared" si="42"/>
        <v>0.7627743353</v>
      </c>
      <c r="AX30" s="163"/>
      <c r="AY30" s="158"/>
      <c r="AZ30" s="159"/>
      <c r="BA30" s="158"/>
      <c r="BB30" s="158"/>
      <c r="BC30" s="158"/>
      <c r="BD30" s="158"/>
      <c r="BE30" s="158"/>
    </row>
    <row r="31">
      <c r="A31" s="170">
        <v>25.0</v>
      </c>
      <c r="B31" s="171" t="s">
        <v>163</v>
      </c>
      <c r="C31" s="172" t="s">
        <v>164</v>
      </c>
      <c r="D31" s="173" t="s">
        <v>101</v>
      </c>
      <c r="E31" s="125" t="s">
        <v>113</v>
      </c>
      <c r="F31" s="126" t="s">
        <v>110</v>
      </c>
      <c r="G31" s="127" t="s">
        <v>101</v>
      </c>
      <c r="H31" s="174" t="s">
        <v>102</v>
      </c>
      <c r="I31" s="129" t="s">
        <v>101</v>
      </c>
      <c r="J31" s="130" t="s">
        <v>103</v>
      </c>
      <c r="K31" s="99"/>
      <c r="L31" s="89"/>
      <c r="M31" s="160">
        <v>25.0</v>
      </c>
      <c r="N31" s="123" t="s">
        <v>163</v>
      </c>
      <c r="O31" s="162" t="s">
        <v>164</v>
      </c>
      <c r="P31" s="132">
        <f t="shared" si="29"/>
        <v>3</v>
      </c>
      <c r="Q31" s="133">
        <f t="shared" si="30"/>
        <v>2</v>
      </c>
      <c r="R31" s="166">
        <f t="shared" si="31"/>
        <v>3</v>
      </c>
      <c r="S31" s="169">
        <f t="shared" si="32"/>
        <v>3</v>
      </c>
      <c r="T31" s="136">
        <f t="shared" si="33"/>
        <v>4</v>
      </c>
      <c r="U31" s="137">
        <f t="shared" si="34"/>
        <v>3</v>
      </c>
      <c r="V31" s="138">
        <f t="shared" si="35"/>
        <v>4</v>
      </c>
      <c r="W31" s="87"/>
      <c r="X31" s="87"/>
      <c r="Y31" s="160">
        <v>25.0</v>
      </c>
      <c r="Z31" s="123" t="s">
        <v>163</v>
      </c>
      <c r="AA31" s="162" t="s">
        <v>164</v>
      </c>
      <c r="AB31" s="139">
        <f>P31/P32</f>
        <v>0.1901172752</v>
      </c>
      <c r="AC31" s="140">
        <f t="shared" si="36"/>
        <v>0.15665209</v>
      </c>
      <c r="AD31" s="141">
        <f t="shared" si="37"/>
        <v>0.1908854289</v>
      </c>
      <c r="AE31" s="142">
        <f>S31/S32</f>
        <v>0.197814142</v>
      </c>
      <c r="AF31" s="143">
        <f t="shared" si="38"/>
        <v>0.2773500981</v>
      </c>
      <c r="AG31" s="144">
        <f t="shared" si="39"/>
        <v>0.1948709407</v>
      </c>
      <c r="AH31" s="145">
        <f t="shared" si="40"/>
        <v>0.2212005054</v>
      </c>
      <c r="AI31" s="87"/>
      <c r="AJ31" s="87"/>
      <c r="AK31" s="160">
        <v>25.0</v>
      </c>
      <c r="AL31" s="123" t="s">
        <v>163</v>
      </c>
      <c r="AM31" s="162" t="s">
        <v>164</v>
      </c>
      <c r="AN31" s="147">
        <f>AB31*AHP!R4</f>
        <v>0.04159864066</v>
      </c>
      <c r="AO31" s="148">
        <f>AC31*AHP!R5</f>
        <v>0.02368141245</v>
      </c>
      <c r="AP31" s="149">
        <f>AD31*AHP!R6</f>
        <v>0.01613604743</v>
      </c>
      <c r="AQ31" s="150">
        <f>AE31*AHP!R7</f>
        <v>0.01125474115</v>
      </c>
      <c r="AR31" s="151">
        <f>AF31*AHP!R8</f>
        <v>0.03121841083</v>
      </c>
      <c r="AS31" s="152">
        <f>AG31*AHP!R9</f>
        <v>0.007109832739</v>
      </c>
      <c r="AT31" s="153">
        <f>AH31*AHP!R10</f>
        <v>0.07510868706</v>
      </c>
      <c r="AU31" s="154">
        <f>SQRT(SUMPRODUCT((AN31:AT31 - AN58:AT58)^2))</f>
        <v>0.09666825329</v>
      </c>
      <c r="AV31" s="155">
        <f t="shared" si="41"/>
        <v>0.09666825329</v>
      </c>
      <c r="AW31" s="156">
        <f t="shared" si="42"/>
        <v>0.5</v>
      </c>
      <c r="AX31" s="163"/>
      <c r="AY31" s="158"/>
      <c r="AZ31" s="159"/>
      <c r="BA31" s="158"/>
      <c r="BB31" s="158"/>
      <c r="BC31" s="158"/>
      <c r="BD31" s="158"/>
      <c r="BE31" s="158"/>
    </row>
    <row r="32">
      <c r="A32" s="175"/>
      <c r="B32" s="98"/>
      <c r="C32" s="98"/>
      <c r="D32" s="176"/>
      <c r="E32" s="176"/>
      <c r="F32" s="176"/>
      <c r="G32" s="176"/>
      <c r="H32" s="176"/>
      <c r="I32" s="176"/>
      <c r="J32" s="176"/>
      <c r="K32" s="99"/>
      <c r="L32" s="163"/>
      <c r="M32" s="177" t="s">
        <v>165</v>
      </c>
      <c r="N32" s="3"/>
      <c r="O32" s="4"/>
      <c r="P32" s="178">
        <f t="shared" ref="P32:V32" si="43">SQRT(P5^2+P6^2+P7^2+P8^2+P9^2+P10^2+P11^2+P12^2+P13^2+P14^2+P15^2+P17^2+P18^2+P19^2+P20^2+P21^2+P22^2+P23^2+P24^2+P25^2+P26^2+P28^2+P29^2+P30^2+P31^2)</f>
        <v>15.77973384</v>
      </c>
      <c r="Q32" s="179">
        <f t="shared" si="43"/>
        <v>12.76714533</v>
      </c>
      <c r="R32" s="166">
        <f t="shared" si="43"/>
        <v>15.71623365</v>
      </c>
      <c r="S32" s="169">
        <f t="shared" si="43"/>
        <v>15.16575089</v>
      </c>
      <c r="T32" s="167">
        <f t="shared" si="43"/>
        <v>14.4222051</v>
      </c>
      <c r="U32" s="168">
        <f t="shared" si="43"/>
        <v>15.39480432</v>
      </c>
      <c r="V32" s="180">
        <f t="shared" si="43"/>
        <v>18.08314132</v>
      </c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99"/>
      <c r="L33" s="89"/>
      <c r="M33" s="89"/>
      <c r="N33" s="86"/>
      <c r="O33" s="1"/>
      <c r="P33" s="85"/>
      <c r="Q33" s="85"/>
      <c r="R33" s="85"/>
      <c r="S33" s="85"/>
      <c r="T33" s="85"/>
      <c r="U33" s="85"/>
      <c r="V33" s="85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182" t="s">
        <v>166</v>
      </c>
      <c r="AN33" s="181">
        <f t="shared" ref="AN33:AT33" si="44">MAX(AN5:AN31)</f>
        <v>0.05546485421</v>
      </c>
      <c r="AO33" s="181">
        <f t="shared" si="44"/>
        <v>0.04736282491</v>
      </c>
      <c r="AP33" s="181">
        <f t="shared" si="44"/>
        <v>0.02151472991</v>
      </c>
      <c r="AQ33" s="181">
        <f t="shared" si="44"/>
        <v>0.01500632153</v>
      </c>
      <c r="AR33" s="181">
        <f t="shared" si="44"/>
        <v>0.03121841083</v>
      </c>
      <c r="AS33" s="181">
        <f t="shared" si="44"/>
        <v>0.009479776985</v>
      </c>
      <c r="AT33" s="181">
        <f t="shared" si="44"/>
        <v>0.07510868706</v>
      </c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6"/>
      <c r="O34" s="1"/>
      <c r="P34" s="85"/>
      <c r="Q34" s="85"/>
      <c r="R34" s="85"/>
      <c r="S34" s="85"/>
      <c r="T34" s="85"/>
      <c r="U34" s="85"/>
      <c r="V34" s="85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182" t="s">
        <v>167</v>
      </c>
      <c r="AN34" s="181">
        <f t="shared" ref="AN34:AT34" si="45">MIN(AN5:AN31)</f>
        <v>0.0277324271</v>
      </c>
      <c r="AO34" s="181">
        <f t="shared" si="45"/>
        <v>0.01184070623</v>
      </c>
      <c r="AP34" s="181">
        <f t="shared" si="45"/>
        <v>0.01075736495</v>
      </c>
      <c r="AQ34" s="181">
        <f t="shared" si="45"/>
        <v>0.007503160764</v>
      </c>
      <c r="AR34" s="181">
        <f t="shared" si="45"/>
        <v>0.01560920542</v>
      </c>
      <c r="AS34" s="181">
        <f t="shared" si="45"/>
        <v>0.004739888492</v>
      </c>
      <c r="AT34" s="181">
        <f t="shared" si="45"/>
        <v>0.03755434353</v>
      </c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P35" s="85"/>
      <c r="Q35" s="85"/>
      <c r="R35" s="85"/>
      <c r="S35" s="85"/>
      <c r="T35" s="85"/>
      <c r="U35" s="85"/>
      <c r="V35" s="85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183"/>
      <c r="AO35" s="87"/>
      <c r="AP35" s="87"/>
      <c r="AQ35" s="183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6"/>
      <c r="O36" s="1"/>
      <c r="P36" s="85"/>
      <c r="Q36" s="85"/>
      <c r="R36" s="85"/>
      <c r="S36" s="85"/>
      <c r="T36" s="85"/>
      <c r="U36" s="85"/>
      <c r="V36" s="85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183"/>
      <c r="AO36" s="87"/>
      <c r="AP36" s="87"/>
      <c r="AQ36" s="183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</row>
    <row r="37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84"/>
      <c r="O37" s="1"/>
      <c r="P37" s="85"/>
      <c r="Q37" s="85"/>
      <c r="R37" s="85"/>
      <c r="S37" s="85"/>
      <c r="T37" s="85"/>
      <c r="U37" s="85"/>
      <c r="V37" s="85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183"/>
      <c r="AO37" s="87"/>
      <c r="AP37" s="87"/>
      <c r="AQ37" s="183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</row>
    <row r="38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86"/>
      <c r="O38" s="1"/>
      <c r="P38" s="85"/>
      <c r="Q38" s="85"/>
      <c r="R38" s="85"/>
      <c r="S38" s="85"/>
      <c r="T38" s="85"/>
      <c r="U38" s="85"/>
      <c r="V38" s="85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183"/>
      <c r="AO38" s="87"/>
      <c r="AP38" s="87"/>
      <c r="AQ38" s="183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</row>
    <row r="39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86"/>
      <c r="O39" s="1"/>
      <c r="P39" s="85"/>
      <c r="Q39" s="85"/>
      <c r="R39" s="85"/>
      <c r="S39" s="85"/>
      <c r="T39" s="85"/>
      <c r="U39" s="85"/>
      <c r="V39" s="85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183"/>
      <c r="AO39" s="87"/>
      <c r="AP39" s="87"/>
      <c r="AQ39" s="183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</row>
    <row r="40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86"/>
      <c r="O40" s="1"/>
      <c r="P40" s="85"/>
      <c r="Q40" s="85"/>
      <c r="R40" s="85"/>
      <c r="S40" s="85"/>
      <c r="T40" s="85"/>
      <c r="U40" s="85"/>
      <c r="V40" s="85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183"/>
      <c r="AO40" s="87"/>
      <c r="AP40" s="87"/>
      <c r="AQ40" s="183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</row>
    <row r="4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86"/>
      <c r="O41" s="1"/>
      <c r="P41" s="85"/>
      <c r="Q41" s="85"/>
      <c r="R41" s="85"/>
      <c r="S41" s="85"/>
      <c r="T41" s="85"/>
      <c r="U41" s="85"/>
      <c r="V41" s="85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183"/>
      <c r="AO41" s="87"/>
      <c r="AP41" s="87"/>
      <c r="AQ41" s="183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</row>
    <row r="42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86"/>
      <c r="O42" s="1"/>
      <c r="P42" s="85"/>
      <c r="Q42" s="85"/>
      <c r="R42" s="85"/>
      <c r="S42" s="85"/>
      <c r="T42" s="85"/>
      <c r="U42" s="85"/>
      <c r="V42" s="85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</row>
    <row r="43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86"/>
      <c r="O43" s="1"/>
      <c r="P43" s="85"/>
      <c r="Q43" s="85"/>
      <c r="R43" s="85"/>
      <c r="S43" s="85"/>
      <c r="T43" s="85"/>
      <c r="U43" s="85"/>
      <c r="V43" s="85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</row>
    <row r="44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86"/>
      <c r="O44" s="1"/>
      <c r="P44" s="85"/>
      <c r="Q44" s="85"/>
      <c r="R44" s="85"/>
      <c r="S44" s="85"/>
      <c r="T44" s="85"/>
      <c r="U44" s="85"/>
      <c r="V44" s="85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185"/>
      <c r="AN44" s="186"/>
      <c r="AO44" s="185"/>
      <c r="AP44" s="185"/>
      <c r="AQ44" s="186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</row>
    <row r="45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86"/>
      <c r="O45" s="1"/>
      <c r="P45" s="85"/>
      <c r="Q45" s="85"/>
      <c r="R45" s="85"/>
      <c r="S45" s="85"/>
      <c r="T45" s="85"/>
      <c r="U45" s="85"/>
      <c r="V45" s="85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185"/>
      <c r="AN45" s="186"/>
      <c r="AO45" s="185"/>
      <c r="AP45" s="185"/>
      <c r="AQ45" s="186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6"/>
      <c r="O46" s="86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185"/>
      <c r="AN46" s="186"/>
      <c r="AO46" s="185"/>
      <c r="AP46" s="185"/>
      <c r="AQ46" s="186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6"/>
      <c r="O47" s="86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185"/>
      <c r="AN47" s="186"/>
      <c r="AO47" s="185"/>
      <c r="AP47" s="185"/>
      <c r="AQ47" s="186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6"/>
      <c r="O48" s="86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185"/>
      <c r="AN48" s="186"/>
      <c r="AO48" s="185"/>
      <c r="AP48" s="185"/>
      <c r="AQ48" s="186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6"/>
      <c r="O49" s="86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185"/>
      <c r="AN49" s="186"/>
      <c r="AO49" s="185"/>
      <c r="AP49" s="185"/>
      <c r="AQ49" s="186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6"/>
      <c r="O50" s="86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185"/>
      <c r="AN50" s="186"/>
      <c r="AO50" s="185"/>
      <c r="AP50" s="185"/>
      <c r="AQ50" s="186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187"/>
      <c r="O51" s="1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6"/>
      <c r="O52" s="86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6"/>
      <c r="O53" s="86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6"/>
      <c r="O54" s="86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6"/>
      <c r="O55" s="86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6"/>
      <c r="O56" s="86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6"/>
      <c r="O57" s="86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6"/>
      <c r="O58" s="86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6"/>
      <c r="O59" s="86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6"/>
      <c r="O60" s="86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6"/>
      <c r="O61" s="86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6"/>
      <c r="O62" s="86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6"/>
      <c r="O63" s="86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6"/>
      <c r="O64" s="86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6"/>
      <c r="O65" s="86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6"/>
      <c r="O66" s="86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6"/>
      <c r="O67" s="86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6"/>
      <c r="O68" s="86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6"/>
      <c r="O69" s="86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6"/>
      <c r="O70" s="86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6"/>
      <c r="O71" s="86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6"/>
      <c r="O72" s="86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6"/>
      <c r="O73" s="86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6"/>
      <c r="O74" s="86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6"/>
      <c r="O75" s="86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6"/>
      <c r="O76" s="86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6"/>
      <c r="O77" s="86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6"/>
      <c r="O78" s="86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6"/>
      <c r="O79" s="86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6"/>
      <c r="O80" s="86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6"/>
      <c r="O81" s="86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6"/>
      <c r="O82" s="86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6"/>
      <c r="O83" s="86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6"/>
      <c r="O84" s="86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6"/>
      <c r="O85" s="86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6"/>
      <c r="O86" s="86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6"/>
      <c r="O87" s="86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6"/>
      <c r="O88" s="86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6"/>
      <c r="O89" s="86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6"/>
      <c r="O90" s="86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6"/>
      <c r="O91" s="86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6"/>
      <c r="O92" s="86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6"/>
      <c r="O93" s="86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6"/>
      <c r="O94" s="86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6"/>
      <c r="O95" s="86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6"/>
      <c r="O96" s="86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6"/>
      <c r="O97" s="86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6"/>
      <c r="O98" s="86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  <c r="BE98" s="87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6"/>
      <c r="O99" s="86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6"/>
      <c r="O100" s="86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6"/>
      <c r="O101" s="86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6"/>
      <c r="O102" s="86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6"/>
      <c r="O103" s="86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6"/>
      <c r="O104" s="86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6"/>
      <c r="O105" s="86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6"/>
      <c r="O106" s="86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6"/>
      <c r="O107" s="86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6"/>
      <c r="O108" s="86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6"/>
      <c r="O109" s="86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6"/>
      <c r="O110" s="86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6"/>
      <c r="O111" s="86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6"/>
      <c r="O112" s="86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6"/>
      <c r="O113" s="86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6"/>
      <c r="O114" s="86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6"/>
      <c r="O115" s="86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6"/>
      <c r="O116" s="86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6"/>
      <c r="O117" s="86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6"/>
      <c r="O118" s="86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6"/>
      <c r="O119" s="86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6"/>
      <c r="O120" s="86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6"/>
      <c r="O121" s="86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6"/>
      <c r="O122" s="86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6"/>
      <c r="O123" s="86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6"/>
      <c r="O124" s="86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6"/>
      <c r="O125" s="86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6"/>
      <c r="O126" s="86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6"/>
      <c r="O127" s="86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6"/>
      <c r="O128" s="86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6"/>
      <c r="O129" s="86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6"/>
      <c r="O130" s="86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6"/>
      <c r="O131" s="86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6"/>
      <c r="O132" s="86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6"/>
      <c r="O133" s="86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6"/>
      <c r="O134" s="86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6"/>
      <c r="O135" s="86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6"/>
      <c r="O136" s="86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6"/>
      <c r="O137" s="86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6"/>
      <c r="O138" s="86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6"/>
      <c r="O139" s="86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6"/>
      <c r="O140" s="86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6"/>
      <c r="O141" s="86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6"/>
      <c r="O142" s="86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6"/>
      <c r="O143" s="86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6"/>
      <c r="O144" s="86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6"/>
      <c r="O145" s="86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6"/>
      <c r="O146" s="86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6"/>
      <c r="O147" s="86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6"/>
      <c r="O148" s="86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6"/>
      <c r="O149" s="86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6"/>
      <c r="O150" s="86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6"/>
      <c r="O151" s="86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6"/>
      <c r="O152" s="86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6"/>
      <c r="O153" s="86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6"/>
      <c r="O154" s="86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6"/>
      <c r="O155" s="86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6"/>
      <c r="O156" s="86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6"/>
      <c r="O157" s="86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6"/>
      <c r="O158" s="86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6"/>
      <c r="O159" s="86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6"/>
      <c r="O160" s="86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6"/>
      <c r="O161" s="86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6"/>
      <c r="O162" s="86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6"/>
      <c r="O163" s="86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6"/>
      <c r="O164" s="86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6"/>
      <c r="O165" s="86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6"/>
      <c r="O166" s="86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6"/>
      <c r="O167" s="86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6"/>
      <c r="O168" s="86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6"/>
      <c r="O169" s="86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6"/>
      <c r="O170" s="86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6"/>
      <c r="O171" s="86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6"/>
      <c r="O172" s="86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6"/>
      <c r="O173" s="86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6"/>
      <c r="O174" s="86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6"/>
      <c r="O175" s="86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6"/>
      <c r="O176" s="86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6"/>
      <c r="O177" s="86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6"/>
      <c r="O178" s="86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6"/>
      <c r="O179" s="86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6"/>
      <c r="O180" s="86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6"/>
      <c r="O181" s="86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6"/>
      <c r="O182" s="86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6"/>
      <c r="O183" s="86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6"/>
      <c r="O184" s="86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6"/>
      <c r="O185" s="86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6"/>
      <c r="O186" s="86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6"/>
      <c r="O187" s="86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6"/>
      <c r="O188" s="86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6"/>
      <c r="O189" s="86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6"/>
      <c r="O190" s="86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6"/>
      <c r="O191" s="86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6"/>
      <c r="O192" s="86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6"/>
      <c r="O193" s="86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6"/>
      <c r="O194" s="86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6"/>
      <c r="O195" s="86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6"/>
      <c r="O196" s="86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6"/>
      <c r="O197" s="86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6"/>
      <c r="O198" s="86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6"/>
      <c r="O199" s="86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6"/>
      <c r="O200" s="86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6"/>
      <c r="O201" s="86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6"/>
      <c r="O202" s="86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6"/>
      <c r="O203" s="86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6"/>
      <c r="O204" s="86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6"/>
      <c r="O205" s="86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6"/>
      <c r="O206" s="86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6"/>
      <c r="O207" s="86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6"/>
      <c r="O208" s="86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6"/>
      <c r="O209" s="86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6"/>
      <c r="O210" s="86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6"/>
      <c r="O211" s="86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6"/>
      <c r="O212" s="86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6"/>
      <c r="O213" s="86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6"/>
      <c r="O214" s="86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6"/>
      <c r="O215" s="86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6"/>
      <c r="O216" s="86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6"/>
      <c r="O217" s="86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6"/>
      <c r="O218" s="86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6"/>
      <c r="O219" s="86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6"/>
      <c r="O220" s="86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6"/>
      <c r="O221" s="86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6"/>
      <c r="O222" s="86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6"/>
      <c r="O223" s="86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6"/>
      <c r="O224" s="86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6"/>
      <c r="O225" s="86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6"/>
      <c r="O226" s="86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6"/>
      <c r="O227" s="86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6"/>
      <c r="O228" s="86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6"/>
      <c r="O229" s="86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6"/>
      <c r="O230" s="86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6"/>
      <c r="O231" s="86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6"/>
      <c r="O232" s="86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6"/>
      <c r="O233" s="86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6"/>
      <c r="O234" s="86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6"/>
      <c r="O235" s="86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6"/>
      <c r="O236" s="86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6"/>
      <c r="O237" s="86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6"/>
      <c r="O238" s="86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6"/>
      <c r="O239" s="86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6"/>
      <c r="O240" s="86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6"/>
      <c r="O241" s="86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6"/>
      <c r="O242" s="86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6"/>
      <c r="O243" s="86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6"/>
      <c r="O244" s="86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6"/>
      <c r="O245" s="86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6"/>
      <c r="O246" s="86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6"/>
      <c r="O247" s="86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6"/>
      <c r="O248" s="86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6"/>
      <c r="O249" s="86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6"/>
      <c r="O250" s="86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6"/>
      <c r="O251" s="86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6"/>
      <c r="O252" s="86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6"/>
      <c r="O253" s="86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6"/>
      <c r="O254" s="86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6"/>
      <c r="O255" s="86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6"/>
      <c r="O256" s="86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6"/>
      <c r="O257" s="86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6"/>
      <c r="O258" s="86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6"/>
      <c r="O259" s="86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6"/>
      <c r="O260" s="86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6"/>
      <c r="O261" s="86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6"/>
      <c r="O262" s="86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6"/>
      <c r="O263" s="86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6"/>
      <c r="O264" s="86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6"/>
      <c r="O265" s="86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6"/>
      <c r="O266" s="86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6"/>
      <c r="O267" s="86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6"/>
      <c r="O268" s="86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6"/>
      <c r="O269" s="86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6"/>
      <c r="O270" s="86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6"/>
      <c r="O271" s="86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6"/>
      <c r="O272" s="86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6"/>
      <c r="O273" s="86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6"/>
      <c r="O274" s="86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6"/>
      <c r="O275" s="86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6"/>
      <c r="O276" s="86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6"/>
      <c r="O277" s="86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6"/>
      <c r="O278" s="86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6"/>
      <c r="O279" s="86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6"/>
      <c r="O280" s="86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6"/>
      <c r="O281" s="86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6"/>
      <c r="O282" s="86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6"/>
      <c r="O283" s="86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6"/>
      <c r="O284" s="86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6"/>
      <c r="O285" s="86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6"/>
      <c r="O286" s="86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6"/>
      <c r="O287" s="86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6"/>
      <c r="O288" s="86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6"/>
      <c r="O289" s="86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6"/>
      <c r="O290" s="86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6"/>
      <c r="O291" s="86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6"/>
      <c r="O292" s="86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6"/>
      <c r="O293" s="86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6"/>
      <c r="O294" s="86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6"/>
      <c r="O295" s="86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6"/>
      <c r="O296" s="86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6"/>
      <c r="O297" s="86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6"/>
      <c r="O298" s="86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6"/>
      <c r="O299" s="86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6"/>
      <c r="O300" s="86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6"/>
      <c r="O301" s="86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6"/>
      <c r="O302" s="86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6"/>
      <c r="O303" s="86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6"/>
      <c r="O304" s="86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6"/>
      <c r="O305" s="86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6"/>
      <c r="O306" s="86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6"/>
      <c r="O307" s="86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6"/>
      <c r="O308" s="86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6"/>
      <c r="O309" s="86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6"/>
      <c r="O310" s="86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6"/>
      <c r="O311" s="86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6"/>
      <c r="O312" s="86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6"/>
      <c r="O313" s="86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6"/>
      <c r="O314" s="86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6"/>
      <c r="O315" s="86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6"/>
      <c r="O316" s="86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6"/>
      <c r="O317" s="86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6"/>
      <c r="O318" s="86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6"/>
      <c r="O319" s="86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6"/>
      <c r="O320" s="86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6"/>
      <c r="O321" s="86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6"/>
      <c r="O322" s="86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6"/>
      <c r="O323" s="86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6"/>
      <c r="O324" s="86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6"/>
      <c r="O325" s="86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6"/>
      <c r="O326" s="86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6"/>
      <c r="O327" s="86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6"/>
      <c r="O328" s="86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6"/>
      <c r="O329" s="86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6"/>
      <c r="O330" s="86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6"/>
      <c r="O331" s="86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6"/>
      <c r="O332" s="86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6"/>
      <c r="O333" s="86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6"/>
      <c r="O334" s="86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6"/>
      <c r="O335" s="86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6"/>
      <c r="O336" s="86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6"/>
      <c r="O337" s="86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6"/>
      <c r="O338" s="86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6"/>
      <c r="O339" s="86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6"/>
      <c r="O340" s="86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6"/>
      <c r="O341" s="86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6"/>
      <c r="O342" s="86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6"/>
      <c r="O343" s="86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6"/>
      <c r="O344" s="86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6"/>
      <c r="O345" s="86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6"/>
      <c r="O346" s="86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6"/>
      <c r="O347" s="86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6"/>
      <c r="O348" s="86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6"/>
      <c r="O349" s="86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6"/>
      <c r="O350" s="86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6"/>
      <c r="O351" s="86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6"/>
      <c r="O352" s="86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6"/>
      <c r="O353" s="86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6"/>
      <c r="O354" s="86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6"/>
      <c r="O355" s="86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6"/>
      <c r="O356" s="86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6"/>
      <c r="O357" s="86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6"/>
      <c r="O358" s="86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6"/>
      <c r="O359" s="86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6"/>
      <c r="O360" s="86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6"/>
      <c r="O361" s="86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6"/>
      <c r="O362" s="86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6"/>
      <c r="O363" s="86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6"/>
      <c r="O364" s="86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6"/>
      <c r="O365" s="86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6"/>
      <c r="O366" s="86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6"/>
      <c r="O367" s="86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6"/>
      <c r="O368" s="86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6"/>
      <c r="O369" s="86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6"/>
      <c r="O370" s="86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6"/>
      <c r="O371" s="86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6"/>
      <c r="O372" s="86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6"/>
      <c r="O373" s="86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6"/>
      <c r="O374" s="86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6"/>
      <c r="O375" s="86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6"/>
      <c r="O376" s="86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6"/>
      <c r="O377" s="86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6"/>
      <c r="O378" s="86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6"/>
      <c r="O379" s="86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6"/>
      <c r="O380" s="86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6"/>
      <c r="O381" s="86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6"/>
      <c r="O382" s="86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6"/>
      <c r="O383" s="86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6"/>
      <c r="O384" s="86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6"/>
      <c r="O385" s="86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6"/>
      <c r="O386" s="86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6"/>
      <c r="O387" s="86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6"/>
      <c r="O388" s="86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6"/>
      <c r="O389" s="86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6"/>
      <c r="O390" s="86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6"/>
      <c r="O391" s="86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6"/>
      <c r="O392" s="86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6"/>
      <c r="O393" s="86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6"/>
      <c r="O394" s="86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6"/>
      <c r="O395" s="86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6"/>
      <c r="O396" s="86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6"/>
      <c r="O397" s="86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6"/>
      <c r="O398" s="86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6"/>
      <c r="O399" s="86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6"/>
      <c r="O400" s="86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6"/>
      <c r="O401" s="86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6"/>
      <c r="O402" s="86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6"/>
      <c r="O403" s="86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6"/>
      <c r="O404" s="86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6"/>
      <c r="O405" s="86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6"/>
      <c r="O406" s="86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6"/>
      <c r="O407" s="86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6"/>
      <c r="O408" s="86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6"/>
      <c r="O409" s="86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6"/>
      <c r="O410" s="86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6"/>
      <c r="O411" s="86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6"/>
      <c r="O412" s="86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6"/>
      <c r="O413" s="86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6"/>
      <c r="O414" s="86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6"/>
      <c r="O415" s="86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6"/>
      <c r="O416" s="86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6"/>
      <c r="O417" s="86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6"/>
      <c r="O418" s="86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6"/>
      <c r="O419" s="86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6"/>
      <c r="O420" s="86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6"/>
      <c r="O421" s="86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6"/>
      <c r="O422" s="86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6"/>
      <c r="O423" s="86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6"/>
      <c r="O424" s="86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6"/>
      <c r="O425" s="86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6"/>
      <c r="O426" s="86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6"/>
      <c r="O427" s="86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6"/>
      <c r="O428" s="86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6"/>
      <c r="O429" s="86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6"/>
      <c r="O430" s="86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6"/>
      <c r="O431" s="86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6"/>
      <c r="O432" s="86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6"/>
      <c r="O433" s="86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6"/>
      <c r="O434" s="86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6"/>
      <c r="O435" s="86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6"/>
      <c r="O436" s="86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6"/>
      <c r="O437" s="86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6"/>
      <c r="O438" s="86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6"/>
      <c r="O439" s="86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6"/>
      <c r="O440" s="86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6"/>
      <c r="O441" s="86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6"/>
      <c r="O442" s="86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6"/>
      <c r="O443" s="86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6"/>
      <c r="O444" s="86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6"/>
      <c r="O445" s="86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6"/>
      <c r="O446" s="86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6"/>
      <c r="O447" s="86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6"/>
      <c r="O448" s="86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6"/>
      <c r="O449" s="86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6"/>
      <c r="O450" s="86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6"/>
      <c r="O451" s="86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6"/>
      <c r="O452" s="86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6"/>
      <c r="O453" s="86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6"/>
      <c r="O454" s="86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6"/>
      <c r="O455" s="86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6"/>
      <c r="O456" s="86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6"/>
      <c r="O457" s="86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6"/>
      <c r="O458" s="86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6"/>
      <c r="O459" s="86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6"/>
      <c r="O460" s="86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6"/>
      <c r="O461" s="86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6"/>
      <c r="O462" s="86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6"/>
      <c r="O463" s="86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6"/>
      <c r="O464" s="86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6"/>
      <c r="O465" s="86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6"/>
      <c r="O466" s="86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6"/>
      <c r="O467" s="86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6"/>
      <c r="O468" s="86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6"/>
      <c r="O469" s="86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6"/>
      <c r="O470" s="86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6"/>
      <c r="O471" s="86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6"/>
      <c r="O472" s="86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6"/>
      <c r="O473" s="86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6"/>
      <c r="O474" s="86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6"/>
      <c r="O475" s="86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6"/>
      <c r="O476" s="86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6"/>
      <c r="O477" s="86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6"/>
      <c r="O478" s="86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6"/>
      <c r="O479" s="86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6"/>
      <c r="O480" s="86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6"/>
      <c r="O481" s="86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6"/>
      <c r="O482" s="86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6"/>
      <c r="O483" s="86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6"/>
      <c r="O484" s="86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6"/>
      <c r="O485" s="86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6"/>
      <c r="O486" s="86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6"/>
      <c r="O487" s="86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6"/>
      <c r="O488" s="86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6"/>
      <c r="O489" s="86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6"/>
      <c r="O490" s="86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6"/>
      <c r="O491" s="86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6"/>
      <c r="O492" s="86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6"/>
      <c r="O493" s="86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6"/>
      <c r="O494" s="86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6"/>
      <c r="O495" s="86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6"/>
      <c r="O496" s="86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6"/>
      <c r="O497" s="86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6"/>
      <c r="O498" s="86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6"/>
      <c r="O499" s="86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6"/>
      <c r="O500" s="86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6"/>
      <c r="O501" s="86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6"/>
      <c r="O502" s="86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6"/>
      <c r="O503" s="86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6"/>
      <c r="O504" s="86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6"/>
      <c r="O505" s="86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6"/>
      <c r="O506" s="86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6"/>
      <c r="O507" s="86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6"/>
      <c r="O508" s="86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6"/>
      <c r="O509" s="86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6"/>
      <c r="O510" s="86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6"/>
      <c r="O511" s="86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6"/>
      <c r="O512" s="86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6"/>
      <c r="O513" s="86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6"/>
      <c r="O514" s="86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6"/>
      <c r="O515" s="86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6"/>
      <c r="O516" s="86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6"/>
      <c r="O517" s="86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6"/>
      <c r="O518" s="86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6"/>
      <c r="O519" s="86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6"/>
      <c r="O520" s="86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6"/>
      <c r="O521" s="86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6"/>
      <c r="O522" s="86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6"/>
      <c r="O523" s="86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6"/>
      <c r="O524" s="86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6"/>
      <c r="O525" s="86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6"/>
      <c r="O526" s="86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6"/>
      <c r="O527" s="86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6"/>
      <c r="O528" s="86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6"/>
      <c r="O529" s="86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6"/>
      <c r="O530" s="86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6"/>
      <c r="O531" s="86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6"/>
      <c r="O532" s="86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6"/>
      <c r="O533" s="86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6"/>
      <c r="O534" s="86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6"/>
      <c r="O535" s="86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6"/>
      <c r="O536" s="86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6"/>
      <c r="O537" s="86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6"/>
      <c r="O538" s="86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6"/>
      <c r="O539" s="86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6"/>
      <c r="O540" s="86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6"/>
      <c r="O541" s="86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6"/>
      <c r="O542" s="86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6"/>
      <c r="O543" s="86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6"/>
      <c r="O544" s="86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6"/>
      <c r="O545" s="86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6"/>
      <c r="O546" s="86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6"/>
      <c r="O547" s="86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6"/>
      <c r="O548" s="86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6"/>
      <c r="O549" s="86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6"/>
      <c r="O550" s="86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6"/>
      <c r="O551" s="86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6"/>
      <c r="O552" s="86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6"/>
      <c r="O553" s="86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6"/>
      <c r="O554" s="86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6"/>
      <c r="O555" s="86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6"/>
      <c r="O556" s="86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6"/>
      <c r="O557" s="86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6"/>
      <c r="O558" s="86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6"/>
      <c r="O559" s="86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6"/>
      <c r="O560" s="86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6"/>
      <c r="O561" s="86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6"/>
      <c r="O562" s="86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6"/>
      <c r="O563" s="86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6"/>
      <c r="O564" s="86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6"/>
      <c r="O565" s="86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6"/>
      <c r="O566" s="86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6"/>
      <c r="O567" s="86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6"/>
      <c r="O568" s="86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6"/>
      <c r="O569" s="86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6"/>
      <c r="O570" s="86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6"/>
      <c r="O571" s="86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6"/>
      <c r="O572" s="86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6"/>
      <c r="O573" s="86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6"/>
      <c r="O574" s="86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6"/>
      <c r="O575" s="86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6"/>
      <c r="O576" s="86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6"/>
      <c r="O577" s="86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6"/>
      <c r="O578" s="86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6"/>
      <c r="O579" s="86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6"/>
      <c r="O580" s="86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6"/>
      <c r="O581" s="86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6"/>
      <c r="O582" s="86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6"/>
      <c r="O583" s="86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6"/>
      <c r="O584" s="86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6"/>
      <c r="O585" s="86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6"/>
      <c r="O586" s="86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6"/>
      <c r="O587" s="86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6"/>
      <c r="O588" s="86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6"/>
      <c r="O589" s="86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6"/>
      <c r="O590" s="86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6"/>
      <c r="O591" s="86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6"/>
      <c r="O592" s="86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6"/>
      <c r="O593" s="86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6"/>
      <c r="O594" s="86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6"/>
      <c r="O595" s="86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6"/>
      <c r="O596" s="86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6"/>
      <c r="O597" s="86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6"/>
      <c r="O598" s="86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6"/>
      <c r="O599" s="86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6"/>
      <c r="O600" s="86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6"/>
      <c r="O601" s="86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6"/>
      <c r="O602" s="86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6"/>
      <c r="O603" s="86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6"/>
      <c r="O604" s="86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6"/>
      <c r="O605" s="86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6"/>
      <c r="O606" s="86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6"/>
      <c r="O607" s="86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6"/>
      <c r="O608" s="86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6"/>
      <c r="O609" s="86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6"/>
      <c r="O610" s="86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6"/>
      <c r="O611" s="86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6"/>
      <c r="O612" s="86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6"/>
      <c r="O613" s="86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6"/>
      <c r="O614" s="86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6"/>
      <c r="O615" s="86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6"/>
      <c r="O616" s="86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6"/>
      <c r="O617" s="86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6"/>
      <c r="O618" s="86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6"/>
      <c r="O619" s="86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6"/>
      <c r="O620" s="86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6"/>
      <c r="O621" s="86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6"/>
      <c r="O622" s="86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6"/>
      <c r="O623" s="86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6"/>
      <c r="O624" s="86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6"/>
      <c r="O625" s="86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6"/>
      <c r="O626" s="86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6"/>
      <c r="O627" s="86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6"/>
      <c r="O628" s="86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6"/>
      <c r="O629" s="86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6"/>
      <c r="O630" s="86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6"/>
      <c r="O631" s="86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6"/>
      <c r="O632" s="86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6"/>
      <c r="O633" s="86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6"/>
      <c r="O634" s="86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6"/>
      <c r="O635" s="86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6"/>
      <c r="O636" s="86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6"/>
      <c r="O637" s="86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6"/>
      <c r="O638" s="86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6"/>
      <c r="O639" s="86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6"/>
      <c r="O640" s="86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6"/>
      <c r="O641" s="86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6"/>
      <c r="O642" s="86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6"/>
      <c r="O643" s="86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6"/>
      <c r="O644" s="86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6"/>
      <c r="O645" s="86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6"/>
      <c r="O646" s="86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6"/>
      <c r="O647" s="86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6"/>
      <c r="O648" s="86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6"/>
      <c r="O649" s="86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6"/>
      <c r="O650" s="86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6"/>
      <c r="O651" s="86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6"/>
      <c r="O652" s="86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6"/>
      <c r="O653" s="86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6"/>
      <c r="O654" s="86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6"/>
      <c r="O655" s="86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6"/>
      <c r="O656" s="86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6"/>
      <c r="O657" s="86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6"/>
      <c r="O658" s="86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6"/>
      <c r="O659" s="86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6"/>
      <c r="O660" s="86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6"/>
      <c r="O661" s="86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6"/>
      <c r="O662" s="86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6"/>
      <c r="O663" s="86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6"/>
      <c r="O664" s="86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6"/>
      <c r="O665" s="86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6"/>
      <c r="O666" s="86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6"/>
      <c r="O667" s="86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6"/>
      <c r="O668" s="86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6"/>
      <c r="O669" s="86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6"/>
      <c r="O670" s="86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6"/>
      <c r="O671" s="86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6"/>
      <c r="O672" s="86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6"/>
      <c r="O673" s="86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6"/>
      <c r="O674" s="86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6"/>
      <c r="O675" s="86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6"/>
      <c r="O676" s="86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6"/>
      <c r="O677" s="86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6"/>
      <c r="O678" s="86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6"/>
      <c r="O679" s="86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6"/>
      <c r="O680" s="86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6"/>
      <c r="O681" s="86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6"/>
      <c r="O682" s="86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6"/>
      <c r="O683" s="86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6"/>
      <c r="O684" s="86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6"/>
      <c r="O685" s="86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6"/>
      <c r="O686" s="86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6"/>
      <c r="O687" s="86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6"/>
      <c r="O688" s="86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6"/>
      <c r="O689" s="86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6"/>
      <c r="O690" s="86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6"/>
      <c r="O691" s="86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6"/>
      <c r="O692" s="86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6"/>
      <c r="O693" s="86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6"/>
      <c r="O694" s="86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6"/>
      <c r="O695" s="86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6"/>
      <c r="O696" s="86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6"/>
      <c r="O697" s="86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6"/>
      <c r="O698" s="86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6"/>
      <c r="O699" s="86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6"/>
      <c r="O700" s="86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6"/>
      <c r="O701" s="86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6"/>
      <c r="O702" s="86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6"/>
      <c r="O703" s="86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6"/>
      <c r="O704" s="86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6"/>
      <c r="O705" s="86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6"/>
      <c r="O706" s="86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6"/>
      <c r="O707" s="86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6"/>
      <c r="O708" s="86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6"/>
      <c r="O709" s="86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6"/>
      <c r="O710" s="86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6"/>
      <c r="O711" s="86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6"/>
      <c r="O712" s="86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6"/>
      <c r="O713" s="86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6"/>
      <c r="O714" s="86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6"/>
      <c r="O715" s="86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6"/>
      <c r="O716" s="86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6"/>
      <c r="O717" s="86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6"/>
      <c r="O718" s="86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6"/>
      <c r="O719" s="86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6"/>
      <c r="O720" s="86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6"/>
      <c r="O721" s="86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6"/>
      <c r="O722" s="86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6"/>
      <c r="O723" s="86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6"/>
      <c r="O724" s="86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6"/>
      <c r="O725" s="86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6"/>
      <c r="O726" s="86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6"/>
      <c r="O727" s="86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6"/>
      <c r="O728" s="86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6"/>
      <c r="O729" s="86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6"/>
      <c r="O730" s="86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6"/>
      <c r="O731" s="86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6"/>
      <c r="O732" s="86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6"/>
      <c r="O733" s="86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6"/>
      <c r="O734" s="86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6"/>
      <c r="O735" s="86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6"/>
      <c r="O736" s="86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6"/>
      <c r="O737" s="86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6"/>
      <c r="O738" s="86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6"/>
      <c r="O739" s="86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6"/>
      <c r="O740" s="86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6"/>
      <c r="O741" s="86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6"/>
      <c r="O742" s="86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6"/>
      <c r="O743" s="86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6"/>
      <c r="O744" s="86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6"/>
      <c r="O745" s="86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6"/>
      <c r="O746" s="86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6"/>
      <c r="O747" s="86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6"/>
      <c r="O748" s="86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6"/>
      <c r="O749" s="86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6"/>
      <c r="O750" s="86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6"/>
      <c r="O751" s="86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6"/>
      <c r="O752" s="86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6"/>
      <c r="O753" s="86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6"/>
      <c r="O754" s="86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6"/>
      <c r="O755" s="86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6"/>
      <c r="O756" s="86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6"/>
      <c r="O757" s="86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6"/>
      <c r="O758" s="86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6"/>
      <c r="O759" s="86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6"/>
      <c r="O760" s="86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6"/>
      <c r="O761" s="86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6"/>
      <c r="O762" s="86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6"/>
      <c r="O763" s="86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6"/>
      <c r="O764" s="86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6"/>
      <c r="O765" s="86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6"/>
      <c r="O766" s="86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6"/>
      <c r="O767" s="86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6"/>
      <c r="O768" s="86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6"/>
      <c r="O769" s="86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6"/>
      <c r="O770" s="86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6"/>
      <c r="O771" s="86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6"/>
      <c r="O772" s="86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6"/>
      <c r="O773" s="86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6"/>
      <c r="O774" s="86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6"/>
      <c r="O775" s="86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6"/>
      <c r="O776" s="86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6"/>
      <c r="O777" s="86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6"/>
      <c r="O778" s="86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6"/>
      <c r="O779" s="86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6"/>
      <c r="O780" s="86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6"/>
      <c r="O781" s="86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6"/>
      <c r="O782" s="86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6"/>
      <c r="O783" s="86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6"/>
      <c r="O784" s="86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6"/>
      <c r="O785" s="86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6"/>
      <c r="O786" s="86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6"/>
      <c r="O787" s="86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6"/>
      <c r="O788" s="86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6"/>
      <c r="O789" s="86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6"/>
      <c r="O790" s="86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6"/>
      <c r="O791" s="86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6"/>
      <c r="O792" s="86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6"/>
      <c r="O793" s="86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6"/>
      <c r="O794" s="86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6"/>
      <c r="O795" s="86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6"/>
      <c r="O796" s="86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6"/>
      <c r="O797" s="86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6"/>
      <c r="O798" s="86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6"/>
      <c r="O799" s="86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6"/>
      <c r="O800" s="86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6"/>
      <c r="O801" s="86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6"/>
      <c r="O802" s="86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6"/>
      <c r="O803" s="86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6"/>
      <c r="O804" s="86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6"/>
      <c r="O805" s="86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6"/>
      <c r="O806" s="86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6"/>
      <c r="O807" s="86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6"/>
      <c r="O808" s="86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6"/>
      <c r="O809" s="86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6"/>
      <c r="O810" s="86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6"/>
      <c r="O811" s="86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6"/>
      <c r="O812" s="86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6"/>
      <c r="O813" s="86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6"/>
      <c r="O814" s="86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6"/>
      <c r="O815" s="86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6"/>
      <c r="O816" s="86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6"/>
      <c r="O817" s="86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6"/>
      <c r="O818" s="86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6"/>
      <c r="O819" s="86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6"/>
      <c r="O820" s="86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6"/>
      <c r="O821" s="86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6"/>
      <c r="O822" s="86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6"/>
      <c r="O823" s="86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6"/>
      <c r="O824" s="86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6"/>
      <c r="O825" s="86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6"/>
      <c r="O826" s="86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6"/>
      <c r="O827" s="86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6"/>
      <c r="O828" s="86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6"/>
      <c r="O829" s="86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6"/>
      <c r="O830" s="86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6"/>
      <c r="O831" s="86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6"/>
      <c r="O832" s="86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6"/>
      <c r="O833" s="86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6"/>
      <c r="O834" s="86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6"/>
      <c r="O835" s="86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6"/>
      <c r="O836" s="86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6"/>
      <c r="O837" s="86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6"/>
      <c r="O838" s="86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6"/>
      <c r="O839" s="86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6"/>
      <c r="O840" s="86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6"/>
      <c r="O841" s="86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6"/>
      <c r="O842" s="86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6"/>
      <c r="O843" s="86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6"/>
      <c r="O844" s="86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6"/>
      <c r="O845" s="86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6"/>
      <c r="O846" s="86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6"/>
      <c r="O847" s="86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6"/>
      <c r="O848" s="86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6"/>
      <c r="O849" s="86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6"/>
      <c r="O850" s="86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6"/>
      <c r="O851" s="86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6"/>
      <c r="O852" s="86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6"/>
      <c r="O853" s="86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6"/>
      <c r="O854" s="86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6"/>
      <c r="O855" s="86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6"/>
      <c r="O856" s="86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6"/>
      <c r="O857" s="86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6"/>
      <c r="O858" s="86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6"/>
      <c r="O859" s="86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6"/>
      <c r="O860" s="86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6"/>
      <c r="O861" s="86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6"/>
      <c r="O862" s="86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6"/>
      <c r="O863" s="86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6"/>
      <c r="O864" s="86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6"/>
      <c r="O865" s="86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6"/>
      <c r="O866" s="86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6"/>
      <c r="O867" s="86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6"/>
      <c r="O868" s="86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6"/>
      <c r="O869" s="86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6"/>
      <c r="O870" s="86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6"/>
      <c r="O871" s="86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6"/>
      <c r="O872" s="86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6"/>
      <c r="O873" s="86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6"/>
      <c r="O874" s="86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6"/>
      <c r="O875" s="86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6"/>
      <c r="O876" s="86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6"/>
      <c r="O877" s="86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6"/>
      <c r="O878" s="86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6"/>
      <c r="O879" s="86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6"/>
      <c r="O880" s="86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6"/>
      <c r="O881" s="86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6"/>
      <c r="O882" s="86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6"/>
      <c r="O883" s="86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6"/>
      <c r="O884" s="86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6"/>
      <c r="O885" s="86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6"/>
      <c r="O886" s="86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6"/>
      <c r="O887" s="86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6"/>
      <c r="O888" s="86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6"/>
      <c r="O889" s="86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6"/>
      <c r="O890" s="86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6"/>
      <c r="O891" s="86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6"/>
      <c r="O892" s="86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6"/>
      <c r="O893" s="86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6"/>
      <c r="O894" s="86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6"/>
      <c r="O895" s="86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6"/>
      <c r="O896" s="86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6"/>
      <c r="O897" s="86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6"/>
      <c r="O898" s="86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6"/>
      <c r="O899" s="86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6"/>
      <c r="O900" s="86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6"/>
      <c r="O901" s="86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6"/>
      <c r="O902" s="86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6"/>
      <c r="O903" s="86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6"/>
      <c r="O904" s="86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6"/>
      <c r="O905" s="86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6"/>
      <c r="O906" s="86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6"/>
      <c r="O907" s="86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6"/>
      <c r="O908" s="86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6"/>
      <c r="O909" s="86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6"/>
      <c r="O910" s="86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6"/>
      <c r="O911" s="86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6"/>
      <c r="O912" s="86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6"/>
      <c r="O913" s="86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6"/>
      <c r="O914" s="86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6"/>
      <c r="O915" s="86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6"/>
      <c r="O916" s="86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6"/>
      <c r="O917" s="86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6"/>
      <c r="O918" s="86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6"/>
      <c r="O919" s="86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6"/>
      <c r="O920" s="86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6"/>
      <c r="O921" s="86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6"/>
      <c r="O922" s="86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6"/>
      <c r="O923" s="86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6"/>
      <c r="O924" s="86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6"/>
      <c r="O925" s="86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6"/>
      <c r="O926" s="86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6"/>
      <c r="O927" s="86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6"/>
      <c r="O928" s="86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6"/>
      <c r="O929" s="86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6"/>
      <c r="O930" s="86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6"/>
      <c r="O931" s="86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6"/>
      <c r="O932" s="86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6"/>
      <c r="O933" s="86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6"/>
      <c r="O934" s="86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6"/>
      <c r="O935" s="86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6"/>
      <c r="O936" s="86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6"/>
      <c r="O937" s="86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6"/>
      <c r="O938" s="86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6"/>
      <c r="O939" s="86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6"/>
      <c r="O940" s="86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6"/>
      <c r="O941" s="86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6"/>
      <c r="O942" s="86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6"/>
      <c r="O943" s="86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6"/>
      <c r="O944" s="86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6"/>
      <c r="O945" s="86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6"/>
      <c r="O946" s="86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6"/>
      <c r="O947" s="86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6"/>
      <c r="O948" s="86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6"/>
      <c r="O949" s="86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6"/>
      <c r="O950" s="86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6"/>
      <c r="O951" s="86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6"/>
      <c r="O952" s="86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6"/>
      <c r="O953" s="86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6"/>
      <c r="O954" s="86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6"/>
      <c r="O955" s="86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6"/>
      <c r="O956" s="86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6"/>
      <c r="O957" s="86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6"/>
      <c r="O958" s="86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6"/>
      <c r="O959" s="86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6"/>
      <c r="O960" s="86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6"/>
      <c r="O961" s="86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6"/>
      <c r="O962" s="86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6"/>
      <c r="O963" s="86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6"/>
      <c r="O964" s="86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6"/>
      <c r="O965" s="86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6"/>
      <c r="O966" s="86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6"/>
      <c r="O967" s="86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6"/>
      <c r="O968" s="86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6"/>
      <c r="O969" s="86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6"/>
      <c r="O970" s="86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6"/>
      <c r="O971" s="86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6"/>
      <c r="O972" s="86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6"/>
      <c r="O973" s="86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6"/>
      <c r="O974" s="86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6"/>
      <c r="O975" s="86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  <c r="BE975" s="87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6"/>
      <c r="O976" s="86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  <c r="BE976" s="87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6"/>
      <c r="O977" s="86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  <c r="BE977" s="87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6"/>
      <c r="O978" s="86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6"/>
      <c r="O979" s="86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6"/>
      <c r="O980" s="86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6"/>
      <c r="O981" s="86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6"/>
      <c r="O982" s="86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6"/>
      <c r="O983" s="86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6"/>
      <c r="O984" s="86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  <c r="BE984" s="87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6"/>
      <c r="O985" s="86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  <c r="BE985" s="87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6"/>
      <c r="O986" s="86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  <c r="BE986" s="87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6"/>
      <c r="O987" s="86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  <c r="BE987" s="87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6"/>
      <c r="O988" s="86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  <c r="BE988" s="87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6"/>
      <c r="O989" s="86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  <c r="BE989" s="87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6"/>
      <c r="O990" s="86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  <c r="BE990" s="87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6"/>
      <c r="O991" s="86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  <c r="BE991" s="87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6"/>
      <c r="O992" s="86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6"/>
      <c r="O993" s="86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  <c r="BE993" s="87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6"/>
      <c r="O994" s="86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  <c r="BE994" s="87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6"/>
      <c r="O995" s="86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  <c r="BE995" s="87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6"/>
      <c r="O996" s="86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  <c r="BE996" s="87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6"/>
      <c r="O997" s="86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  <c r="BE997" s="87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6"/>
      <c r="O998" s="86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  <c r="BE998" s="87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6"/>
      <c r="O999" s="86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  <c r="BE999" s="87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6"/>
      <c r="O1000" s="86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  <c r="BE1000" s="87"/>
    </row>
    <row r="100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6"/>
      <c r="O1001" s="86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  <c r="AD1001" s="87"/>
      <c r="AE1001" s="87"/>
      <c r="AF1001" s="87"/>
      <c r="AG1001" s="87"/>
      <c r="AH1001" s="87"/>
      <c r="AI1001" s="87"/>
      <c r="AJ1001" s="87"/>
      <c r="AK1001" s="87"/>
      <c r="AL1001" s="87"/>
      <c r="AM1001" s="87"/>
      <c r="AN1001" s="87"/>
      <c r="AO1001" s="87"/>
      <c r="AP1001" s="87"/>
      <c r="AQ1001" s="87"/>
      <c r="AR1001" s="87"/>
      <c r="AS1001" s="87"/>
      <c r="AT1001" s="87"/>
      <c r="AU1001" s="87"/>
      <c r="AV1001" s="87"/>
      <c r="AW1001" s="87"/>
      <c r="AX1001" s="87"/>
      <c r="AY1001" s="87"/>
      <c r="AZ1001" s="87"/>
      <c r="BA1001" s="87"/>
      <c r="BB1001" s="87"/>
      <c r="BC1001" s="87"/>
      <c r="BD1001" s="87"/>
      <c r="BE1001" s="87"/>
    </row>
    <row r="1002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6"/>
      <c r="O1002" s="86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7"/>
      <c r="AD1002" s="87"/>
      <c r="AE1002" s="87"/>
      <c r="AF1002" s="87"/>
      <c r="AG1002" s="87"/>
      <c r="AH1002" s="87"/>
      <c r="AI1002" s="87"/>
      <c r="AJ1002" s="87"/>
      <c r="AK1002" s="87"/>
      <c r="AL1002" s="87"/>
      <c r="AM1002" s="87"/>
      <c r="AN1002" s="87"/>
      <c r="AO1002" s="87"/>
      <c r="AP1002" s="87"/>
      <c r="AQ1002" s="87"/>
      <c r="AR1002" s="87"/>
      <c r="AS1002" s="87"/>
      <c r="AT1002" s="87"/>
      <c r="AU1002" s="87"/>
      <c r="AV1002" s="87"/>
      <c r="AW1002" s="87"/>
      <c r="AX1002" s="87"/>
      <c r="AY1002" s="87"/>
      <c r="AZ1002" s="87"/>
      <c r="BA1002" s="87"/>
      <c r="BB1002" s="87"/>
      <c r="BC1002" s="87"/>
      <c r="BD1002" s="87"/>
      <c r="BE1002" s="87"/>
    </row>
    <row r="1003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6"/>
      <c r="O1003" s="86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7"/>
      <c r="AD1003" s="87"/>
      <c r="AE1003" s="87"/>
      <c r="AF1003" s="87"/>
      <c r="AG1003" s="87"/>
      <c r="AH1003" s="87"/>
      <c r="AI1003" s="87"/>
      <c r="AJ1003" s="87"/>
      <c r="AK1003" s="87"/>
      <c r="AL1003" s="87"/>
      <c r="AM1003" s="87"/>
      <c r="AN1003" s="87"/>
      <c r="AO1003" s="87"/>
      <c r="AP1003" s="87"/>
      <c r="AQ1003" s="87"/>
      <c r="AR1003" s="87"/>
      <c r="AS1003" s="87"/>
      <c r="AT1003" s="87"/>
      <c r="AU1003" s="87"/>
      <c r="AV1003" s="87"/>
      <c r="AW1003" s="87"/>
      <c r="AX1003" s="87"/>
      <c r="AY1003" s="87"/>
      <c r="AZ1003" s="87"/>
      <c r="BA1003" s="87"/>
      <c r="BB1003" s="87"/>
      <c r="BC1003" s="87"/>
      <c r="BD1003" s="87"/>
      <c r="BE1003" s="87"/>
    </row>
    <row r="1004">
      <c r="A1004" s="85"/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6"/>
      <c r="O1004" s="86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7"/>
      <c r="AD1004" s="87"/>
      <c r="AE1004" s="87"/>
      <c r="AF1004" s="87"/>
      <c r="AG1004" s="87"/>
      <c r="AH1004" s="87"/>
      <c r="AI1004" s="87"/>
      <c r="AJ1004" s="87"/>
      <c r="AK1004" s="87"/>
      <c r="AL1004" s="87"/>
      <c r="AM1004" s="87"/>
      <c r="AN1004" s="87"/>
      <c r="AO1004" s="87"/>
      <c r="AP1004" s="87"/>
      <c r="AQ1004" s="87"/>
      <c r="AR1004" s="87"/>
      <c r="AS1004" s="87"/>
      <c r="AT1004" s="87"/>
      <c r="AU1004" s="87"/>
      <c r="AV1004" s="87"/>
      <c r="AW1004" s="87"/>
      <c r="AX1004" s="87"/>
      <c r="AY1004" s="87"/>
      <c r="AZ1004" s="87"/>
      <c r="BA1004" s="87"/>
      <c r="BB1004" s="87"/>
      <c r="BC1004" s="87"/>
      <c r="BD1004" s="87"/>
      <c r="BE1004" s="87"/>
    </row>
  </sheetData>
  <mergeCells count="29">
    <mergeCell ref="P3:V3"/>
    <mergeCell ref="Z3:AA3"/>
    <mergeCell ref="Y4:Z4"/>
    <mergeCell ref="AB3:AH3"/>
    <mergeCell ref="AL3:AM3"/>
    <mergeCell ref="AK4:AL4"/>
    <mergeCell ref="A2:J2"/>
    <mergeCell ref="M2:V2"/>
    <mergeCell ref="Y2:AH2"/>
    <mergeCell ref="AK2:AT2"/>
    <mergeCell ref="AU2:AV3"/>
    <mergeCell ref="AW2:AW3"/>
    <mergeCell ref="B3:C3"/>
    <mergeCell ref="AN3:AT3"/>
    <mergeCell ref="A16:J16"/>
    <mergeCell ref="A27:J27"/>
    <mergeCell ref="M27:V27"/>
    <mergeCell ref="Y27:AH27"/>
    <mergeCell ref="AK27:AW27"/>
    <mergeCell ref="A32:C32"/>
    <mergeCell ref="M32:O32"/>
    <mergeCell ref="M35:O35"/>
    <mergeCell ref="D3:J3"/>
    <mergeCell ref="N3:O3"/>
    <mergeCell ref="A4:B4"/>
    <mergeCell ref="M4:N4"/>
    <mergeCell ref="M16:V16"/>
    <mergeCell ref="Y16:AH16"/>
    <mergeCell ref="AK16:AW16"/>
  </mergeCells>
  <dataValidations>
    <dataValidation type="list" allowBlank="1" showErrorMessage="1" sqref="F5:F15 F17:F26 F28:F31">
      <formula1>"SM,M,KM,TM"</formula1>
    </dataValidation>
    <dataValidation type="list" allowBlank="1" showErrorMessage="1" sqref="H5:H15 H17:H26 H28:H31">
      <formula1>"ST,T,R,SR"</formula1>
    </dataValidation>
    <dataValidation type="list" allowBlank="1" showErrorMessage="1" sqref="D5:D15 G5:G15 I5:I15 D17:D26 G17:G26 I17:I26 D28:D31 G28:G31 I28:I31">
      <formula1>"SB,B,KB,TB"</formula1>
    </dataValidation>
    <dataValidation type="list" allowBlank="1" showErrorMessage="1" sqref="J5:J15 J17:J26 J28:J31">
      <formula1>"SS,S,KS,TS"</formula1>
    </dataValidation>
    <dataValidation type="list" allowBlank="1" showErrorMessage="1" sqref="E5:E15 E17:E26 E28:E31">
      <formula1>"SL,L,KL,TL"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4.11"/>
    <col customWidth="1" min="3" max="3" width="48.56"/>
    <col customWidth="1" min="4" max="4" width="16.11"/>
    <col customWidth="1" min="5" max="5" width="10.33"/>
  </cols>
  <sheetData>
    <row r="3">
      <c r="B3" s="100" t="s">
        <v>90</v>
      </c>
      <c r="C3" s="96" t="s">
        <v>89</v>
      </c>
      <c r="D3" s="4"/>
      <c r="E3" s="122" t="s">
        <v>87</v>
      </c>
      <c r="F3" s="188" t="s">
        <v>168</v>
      </c>
    </row>
    <row r="4">
      <c r="B4" s="189"/>
      <c r="C4" s="189" t="s">
        <v>169</v>
      </c>
      <c r="D4" s="105" t="s">
        <v>92</v>
      </c>
      <c r="E4" s="122" t="s">
        <v>95</v>
      </c>
      <c r="F4" s="190"/>
    </row>
    <row r="5">
      <c r="B5" s="36">
        <v>1.0</v>
      </c>
      <c r="C5" s="123" t="s">
        <v>96</v>
      </c>
      <c r="D5" s="77" t="s">
        <v>97</v>
      </c>
      <c r="E5" s="156">
        <f>'Data Pariwisata Balikpapan'!AW5</f>
        <v>0.9330155287</v>
      </c>
      <c r="F5" s="191">
        <f t="shared" ref="F5:F29" si="1">RANK(E5, $E$5:$E$29, 0)</f>
        <v>1</v>
      </c>
    </row>
    <row r="6">
      <c r="B6" s="36">
        <v>2.0</v>
      </c>
      <c r="C6" s="123" t="s">
        <v>129</v>
      </c>
      <c r="D6" s="162" t="s">
        <v>130</v>
      </c>
      <c r="E6" s="156">
        <f>'Data Pariwisata Balikpapan'!AW14</f>
        <v>0.9108526016</v>
      </c>
      <c r="F6" s="191">
        <f t="shared" si="1"/>
        <v>2</v>
      </c>
    </row>
    <row r="7">
      <c r="B7" s="36">
        <v>3.0</v>
      </c>
      <c r="C7" s="123" t="s">
        <v>108</v>
      </c>
      <c r="D7" s="77" t="s">
        <v>109</v>
      </c>
      <c r="E7" s="156">
        <f>'Data Pariwisata Balikpapan'!AW7</f>
        <v>0.8506040764</v>
      </c>
      <c r="F7" s="191">
        <f t="shared" si="1"/>
        <v>3</v>
      </c>
    </row>
    <row r="8">
      <c r="B8" s="36">
        <v>4.0</v>
      </c>
      <c r="C8" s="123" t="s">
        <v>136</v>
      </c>
      <c r="D8" s="162" t="s">
        <v>137</v>
      </c>
      <c r="E8" s="156">
        <f>'Data Pariwisata Balikpapan'!AW18</f>
        <v>0.7942141872</v>
      </c>
      <c r="F8" s="191">
        <f t="shared" si="1"/>
        <v>4</v>
      </c>
    </row>
    <row r="9">
      <c r="B9" s="36">
        <v>5.0</v>
      </c>
      <c r="C9" s="123" t="s">
        <v>120</v>
      </c>
      <c r="D9" s="77" t="s">
        <v>121</v>
      </c>
      <c r="E9" s="156">
        <f>'Data Pariwisata Balikpapan'!AW10</f>
        <v>0.7932287532</v>
      </c>
      <c r="F9" s="191">
        <f t="shared" si="1"/>
        <v>5</v>
      </c>
    </row>
    <row r="10">
      <c r="B10" s="36">
        <v>6.0</v>
      </c>
      <c r="C10" s="123" t="s">
        <v>104</v>
      </c>
      <c r="D10" s="77" t="s">
        <v>105</v>
      </c>
      <c r="E10" s="156">
        <f>'Data Pariwisata Balikpapan'!AW6</f>
        <v>0.7847989611</v>
      </c>
      <c r="F10" s="191">
        <f t="shared" si="1"/>
        <v>6</v>
      </c>
    </row>
    <row r="11">
      <c r="B11" s="160">
        <v>7.0</v>
      </c>
      <c r="C11" s="123" t="s">
        <v>118</v>
      </c>
      <c r="D11" s="77" t="s">
        <v>119</v>
      </c>
      <c r="E11" s="156">
        <f>'Data Pariwisata Balikpapan'!AW9</f>
        <v>0.7715869706</v>
      </c>
      <c r="F11" s="191">
        <f t="shared" si="1"/>
        <v>7</v>
      </c>
    </row>
    <row r="12">
      <c r="B12" s="160">
        <v>8.0</v>
      </c>
      <c r="C12" s="161" t="s">
        <v>159</v>
      </c>
      <c r="D12" s="162" t="s">
        <v>160</v>
      </c>
      <c r="E12" s="156">
        <f>'Data Pariwisata Balikpapan'!AW29</f>
        <v>0.7627743353</v>
      </c>
      <c r="F12" s="191">
        <f t="shared" si="1"/>
        <v>8</v>
      </c>
    </row>
    <row r="13">
      <c r="B13" s="160">
        <v>9.0</v>
      </c>
      <c r="C13" s="123" t="s">
        <v>161</v>
      </c>
      <c r="D13" s="162" t="s">
        <v>162</v>
      </c>
      <c r="E13" s="156">
        <f>'Data Pariwisata Balikpapan'!AW30</f>
        <v>0.7627743353</v>
      </c>
      <c r="F13" s="191">
        <f t="shared" si="1"/>
        <v>8</v>
      </c>
    </row>
    <row r="14">
      <c r="B14" s="160">
        <v>10.0</v>
      </c>
      <c r="C14" s="123" t="s">
        <v>134</v>
      </c>
      <c r="D14" s="162" t="s">
        <v>135</v>
      </c>
      <c r="E14" s="156">
        <f>'Data Pariwisata Balikpapan'!AW17</f>
        <v>0.7014824094</v>
      </c>
      <c r="F14" s="191">
        <f t="shared" si="1"/>
        <v>10</v>
      </c>
    </row>
    <row r="15">
      <c r="B15" s="160">
        <v>11.0</v>
      </c>
      <c r="C15" s="123" t="s">
        <v>124</v>
      </c>
      <c r="D15" s="162" t="s">
        <v>125</v>
      </c>
      <c r="E15" s="156">
        <f>'Data Pariwisata Balikpapan'!AW12</f>
        <v>0.6835272428</v>
      </c>
      <c r="F15" s="191">
        <f t="shared" si="1"/>
        <v>11</v>
      </c>
    </row>
    <row r="16">
      <c r="B16" s="160">
        <v>12.0</v>
      </c>
      <c r="C16" s="123" t="s">
        <v>145</v>
      </c>
      <c r="D16" s="162" t="s">
        <v>146</v>
      </c>
      <c r="E16" s="156">
        <f>'Data Pariwisata Balikpapan'!AW22</f>
        <v>0.6009344129</v>
      </c>
      <c r="F16" s="191">
        <f t="shared" si="1"/>
        <v>12</v>
      </c>
    </row>
    <row r="17">
      <c r="B17" s="160">
        <v>13.0</v>
      </c>
      <c r="C17" s="123" t="s">
        <v>151</v>
      </c>
      <c r="D17" s="162" t="s">
        <v>152</v>
      </c>
      <c r="E17" s="156">
        <f>'Data Pariwisata Balikpapan'!AW25</f>
        <v>0.6009344129</v>
      </c>
      <c r="F17" s="191">
        <f t="shared" si="1"/>
        <v>12</v>
      </c>
    </row>
    <row r="18">
      <c r="B18" s="160">
        <v>14.0</v>
      </c>
      <c r="C18" s="123" t="s">
        <v>149</v>
      </c>
      <c r="D18" s="162" t="s">
        <v>150</v>
      </c>
      <c r="E18" s="156">
        <f>'Data Pariwisata Balikpapan'!AW24</f>
        <v>0.5823147427</v>
      </c>
      <c r="F18" s="191">
        <f t="shared" si="1"/>
        <v>14</v>
      </c>
    </row>
    <row r="19">
      <c r="B19" s="160">
        <v>15.0</v>
      </c>
      <c r="C19" s="123" t="s">
        <v>163</v>
      </c>
      <c r="D19" s="162" t="s">
        <v>164</v>
      </c>
      <c r="E19" s="156">
        <f>'Data Pariwisata Balikpapan'!AW31</f>
        <v>0.5</v>
      </c>
      <c r="F19" s="191">
        <f t="shared" si="1"/>
        <v>15</v>
      </c>
    </row>
    <row r="20">
      <c r="B20" s="160">
        <v>16.0</v>
      </c>
      <c r="C20" s="161" t="s">
        <v>122</v>
      </c>
      <c r="D20" s="162" t="s">
        <v>123</v>
      </c>
      <c r="E20" s="156">
        <f>'Data Pariwisata Balikpapan'!AW11</f>
        <v>0.4253941762</v>
      </c>
      <c r="F20" s="191">
        <f t="shared" si="1"/>
        <v>16</v>
      </c>
    </row>
    <row r="21">
      <c r="B21" s="160">
        <v>17.0</v>
      </c>
      <c r="C21" s="161" t="s">
        <v>140</v>
      </c>
      <c r="D21" s="162" t="s">
        <v>141</v>
      </c>
      <c r="E21" s="156">
        <f>'Data Pariwisata Balikpapan'!AW20</f>
        <v>0.42010564</v>
      </c>
      <c r="F21" s="191">
        <f t="shared" si="1"/>
        <v>17</v>
      </c>
    </row>
    <row r="22">
      <c r="B22" s="160">
        <v>18.0</v>
      </c>
      <c r="C22" s="123" t="s">
        <v>147</v>
      </c>
      <c r="D22" s="162" t="s">
        <v>148</v>
      </c>
      <c r="E22" s="156">
        <f>'Data Pariwisata Balikpapan'!AW23</f>
        <v>0.42010564</v>
      </c>
      <c r="F22" s="191">
        <f t="shared" si="1"/>
        <v>17</v>
      </c>
    </row>
    <row r="23">
      <c r="B23" s="160">
        <v>19.0</v>
      </c>
      <c r="C23" s="123" t="s">
        <v>111</v>
      </c>
      <c r="D23" s="77" t="s">
        <v>112</v>
      </c>
      <c r="E23" s="156">
        <f>'Data Pariwisata Balikpapan'!AW8</f>
        <v>0.3998118642</v>
      </c>
      <c r="F23" s="191">
        <f t="shared" si="1"/>
        <v>19</v>
      </c>
    </row>
    <row r="24">
      <c r="B24" s="160">
        <v>20.0</v>
      </c>
      <c r="C24" s="161" t="s">
        <v>144</v>
      </c>
      <c r="D24" s="162" t="s">
        <v>143</v>
      </c>
      <c r="E24" s="156">
        <f>'Data Pariwisata Balikpapan'!AW21</f>
        <v>0.3436628672</v>
      </c>
      <c r="F24" s="191">
        <f t="shared" si="1"/>
        <v>20</v>
      </c>
    </row>
    <row r="25">
      <c r="B25" s="160">
        <v>21.0</v>
      </c>
      <c r="C25" s="161" t="s">
        <v>138</v>
      </c>
      <c r="D25" s="162" t="s">
        <v>139</v>
      </c>
      <c r="E25" s="156">
        <f>'Data Pariwisata Balikpapan'!AW19</f>
        <v>0.3383263695</v>
      </c>
      <c r="F25" s="191">
        <f t="shared" si="1"/>
        <v>21</v>
      </c>
    </row>
    <row r="26">
      <c r="B26" s="160">
        <v>22.0</v>
      </c>
      <c r="C26" s="123" t="s">
        <v>153</v>
      </c>
      <c r="D26" s="162" t="s">
        <v>154</v>
      </c>
      <c r="E26" s="156">
        <f>'Data Pariwisata Balikpapan'!AW26</f>
        <v>0.3160489977</v>
      </c>
      <c r="F26" s="191">
        <f t="shared" si="1"/>
        <v>22</v>
      </c>
    </row>
    <row r="27">
      <c r="B27" s="160">
        <v>23.0</v>
      </c>
      <c r="C27" s="123" t="s">
        <v>156</v>
      </c>
      <c r="D27" s="162" t="s">
        <v>157</v>
      </c>
      <c r="E27" s="156">
        <f>'Data Pariwisata Balikpapan'!AW28</f>
        <v>0.2791342763</v>
      </c>
      <c r="F27" s="191">
        <f t="shared" si="1"/>
        <v>23</v>
      </c>
    </row>
    <row r="28">
      <c r="B28" s="160">
        <v>24.0</v>
      </c>
      <c r="C28" s="123" t="s">
        <v>126</v>
      </c>
      <c r="D28" s="162" t="s">
        <v>127</v>
      </c>
      <c r="E28" s="156">
        <f>'Data Pariwisata Balikpapan'!AW13</f>
        <v>0.1735725207</v>
      </c>
      <c r="F28" s="191">
        <f t="shared" si="1"/>
        <v>24</v>
      </c>
    </row>
    <row r="29">
      <c r="B29" s="160">
        <v>25.0</v>
      </c>
      <c r="C29" s="123" t="s">
        <v>131</v>
      </c>
      <c r="D29" s="162" t="s">
        <v>132</v>
      </c>
      <c r="E29" s="156">
        <f>'Data Pariwisata Balikpapan'!AW15</f>
        <v>0.1735725207</v>
      </c>
      <c r="F29" s="191">
        <f t="shared" si="1"/>
        <v>24</v>
      </c>
    </row>
    <row r="30">
      <c r="B30" s="87"/>
      <c r="C30" s="87"/>
      <c r="D30" s="87"/>
      <c r="E30" s="181"/>
    </row>
    <row r="31">
      <c r="B31" s="87"/>
      <c r="C31" s="87"/>
      <c r="D31" s="182"/>
      <c r="E31" s="87"/>
    </row>
    <row r="32">
      <c r="B32" s="87"/>
      <c r="C32" s="87"/>
      <c r="D32" s="182"/>
      <c r="E32" s="87"/>
    </row>
    <row r="33">
      <c r="B33" s="87"/>
      <c r="C33" s="87"/>
      <c r="D33" s="87"/>
      <c r="E33" s="87"/>
    </row>
    <row r="34">
      <c r="B34" s="87"/>
      <c r="C34" s="87"/>
      <c r="D34" s="87"/>
      <c r="E34" s="87"/>
    </row>
    <row r="35">
      <c r="B35" s="87"/>
      <c r="C35" s="87"/>
      <c r="D35" s="87"/>
      <c r="E35" s="87"/>
    </row>
    <row r="36">
      <c r="B36" s="87"/>
      <c r="C36" s="87"/>
      <c r="D36" s="87"/>
      <c r="E36" s="87"/>
    </row>
    <row r="37">
      <c r="B37" s="87"/>
      <c r="C37" s="87"/>
      <c r="D37" s="87"/>
      <c r="E37" s="87"/>
    </row>
    <row r="38">
      <c r="B38" s="87"/>
      <c r="C38" s="87"/>
      <c r="D38" s="87"/>
      <c r="E38" s="87"/>
    </row>
    <row r="39">
      <c r="B39" s="87"/>
      <c r="C39" s="87"/>
      <c r="D39" s="87"/>
      <c r="E39" s="87"/>
    </row>
    <row r="40">
      <c r="B40" s="87"/>
      <c r="C40" s="87"/>
      <c r="D40" s="87"/>
      <c r="E40" s="87"/>
    </row>
    <row r="41">
      <c r="B41" s="87"/>
      <c r="C41" s="87"/>
      <c r="D41" s="87"/>
      <c r="E41" s="87"/>
    </row>
    <row r="42">
      <c r="B42" s="87"/>
      <c r="C42" s="87"/>
      <c r="D42" s="185"/>
      <c r="E42" s="87"/>
    </row>
    <row r="43">
      <c r="B43" s="87"/>
      <c r="C43" s="87"/>
      <c r="D43" s="185"/>
      <c r="E43" s="87"/>
    </row>
    <row r="44">
      <c r="B44" s="87"/>
      <c r="C44" s="87"/>
      <c r="D44" s="185"/>
      <c r="E44" s="87"/>
    </row>
    <row r="45">
      <c r="B45" s="87"/>
      <c r="C45" s="87"/>
      <c r="D45" s="185"/>
      <c r="E45" s="87"/>
    </row>
    <row r="46">
      <c r="B46" s="87"/>
      <c r="C46" s="87"/>
      <c r="D46" s="185"/>
      <c r="E46" s="87"/>
    </row>
    <row r="47">
      <c r="B47" s="87"/>
      <c r="C47" s="87"/>
      <c r="D47" s="185"/>
      <c r="E47" s="87"/>
    </row>
    <row r="48">
      <c r="B48" s="87"/>
      <c r="C48" s="87"/>
      <c r="D48" s="185"/>
      <c r="E48" s="87"/>
    </row>
    <row r="49">
      <c r="B49" s="87"/>
      <c r="C49" s="87"/>
      <c r="D49" s="87"/>
      <c r="E49" s="87"/>
    </row>
    <row r="50">
      <c r="B50" s="87"/>
      <c r="C50" s="87"/>
      <c r="D50" s="87"/>
      <c r="E50" s="87"/>
    </row>
    <row r="51">
      <c r="B51" s="87"/>
      <c r="C51" s="87"/>
      <c r="D51" s="87"/>
      <c r="E51" s="87"/>
    </row>
    <row r="52">
      <c r="B52" s="87"/>
      <c r="C52" s="87"/>
      <c r="D52" s="87"/>
      <c r="E52" s="87"/>
    </row>
    <row r="53">
      <c r="B53" s="87"/>
      <c r="C53" s="87"/>
      <c r="D53" s="87"/>
      <c r="E53" s="87"/>
    </row>
    <row r="54">
      <c r="B54" s="87"/>
      <c r="C54" s="87"/>
      <c r="D54" s="87"/>
      <c r="E54" s="87"/>
    </row>
    <row r="55">
      <c r="B55" s="87"/>
      <c r="C55" s="87"/>
      <c r="D55" s="87"/>
      <c r="E55" s="87"/>
    </row>
    <row r="56">
      <c r="B56" s="87"/>
      <c r="C56" s="87"/>
      <c r="D56" s="87"/>
      <c r="E56" s="87"/>
    </row>
    <row r="57">
      <c r="B57" s="87"/>
      <c r="C57" s="87"/>
      <c r="D57" s="87"/>
      <c r="E57" s="87"/>
    </row>
    <row r="58">
      <c r="B58" s="87"/>
      <c r="C58" s="87"/>
      <c r="D58" s="87"/>
      <c r="E58" s="87"/>
    </row>
    <row r="59">
      <c r="B59" s="87"/>
      <c r="C59" s="87"/>
      <c r="D59" s="87"/>
      <c r="E59" s="87"/>
    </row>
    <row r="60">
      <c r="B60" s="87"/>
      <c r="C60" s="87"/>
      <c r="D60" s="87"/>
      <c r="E60" s="87"/>
    </row>
    <row r="61">
      <c r="B61" s="87"/>
      <c r="C61" s="87"/>
      <c r="D61" s="87"/>
      <c r="E61" s="87"/>
    </row>
    <row r="62">
      <c r="B62" s="87"/>
      <c r="C62" s="87"/>
      <c r="D62" s="87"/>
      <c r="E62" s="87"/>
    </row>
    <row r="63">
      <c r="B63" s="87"/>
      <c r="C63" s="87"/>
      <c r="D63" s="87"/>
      <c r="E63" s="87"/>
    </row>
    <row r="64">
      <c r="B64" s="87"/>
      <c r="C64" s="87"/>
      <c r="D64" s="87"/>
      <c r="E64" s="87"/>
    </row>
    <row r="65">
      <c r="B65" s="87"/>
      <c r="C65" s="87"/>
      <c r="D65" s="87"/>
      <c r="E65" s="87"/>
    </row>
    <row r="66">
      <c r="B66" s="87"/>
      <c r="C66" s="87"/>
      <c r="D66" s="87"/>
      <c r="E66" s="87"/>
    </row>
    <row r="67">
      <c r="B67" s="87"/>
      <c r="C67" s="87"/>
      <c r="D67" s="87"/>
      <c r="E67" s="87"/>
    </row>
    <row r="68">
      <c r="B68" s="87"/>
      <c r="C68" s="87"/>
      <c r="D68" s="87"/>
      <c r="E68" s="87"/>
    </row>
    <row r="69">
      <c r="B69" s="87"/>
      <c r="C69" s="87"/>
      <c r="D69" s="87"/>
      <c r="E69" s="87"/>
    </row>
    <row r="70">
      <c r="B70" s="87"/>
      <c r="C70" s="87"/>
      <c r="D70" s="87"/>
      <c r="E70" s="87"/>
    </row>
    <row r="71">
      <c r="B71" s="87"/>
      <c r="C71" s="87"/>
      <c r="D71" s="87"/>
      <c r="E71" s="87"/>
    </row>
    <row r="72">
      <c r="B72" s="87"/>
      <c r="C72" s="87"/>
      <c r="D72" s="87"/>
      <c r="E72" s="87"/>
    </row>
    <row r="73">
      <c r="B73" s="87"/>
      <c r="C73" s="87"/>
      <c r="D73" s="87"/>
      <c r="E73" s="87"/>
    </row>
    <row r="74">
      <c r="B74" s="87"/>
      <c r="C74" s="87"/>
      <c r="D74" s="87"/>
      <c r="E74" s="87"/>
    </row>
    <row r="75">
      <c r="B75" s="87"/>
      <c r="C75" s="87"/>
      <c r="D75" s="87"/>
      <c r="E75" s="87"/>
    </row>
    <row r="76">
      <c r="B76" s="87"/>
      <c r="C76" s="87"/>
      <c r="D76" s="87"/>
      <c r="E76" s="87"/>
    </row>
    <row r="77">
      <c r="B77" s="87"/>
      <c r="C77" s="87"/>
      <c r="D77" s="87"/>
      <c r="E77" s="87"/>
    </row>
    <row r="78">
      <c r="B78" s="87"/>
      <c r="C78" s="87"/>
      <c r="D78" s="87"/>
      <c r="E78" s="87"/>
    </row>
    <row r="79">
      <c r="B79" s="87"/>
      <c r="C79" s="87"/>
      <c r="D79" s="87"/>
      <c r="E79" s="87"/>
    </row>
    <row r="80">
      <c r="B80" s="87"/>
      <c r="C80" s="87"/>
      <c r="D80" s="87"/>
      <c r="E80" s="87"/>
    </row>
    <row r="81">
      <c r="B81" s="87"/>
      <c r="C81" s="87"/>
      <c r="D81" s="87"/>
      <c r="E81" s="87"/>
    </row>
    <row r="82">
      <c r="B82" s="87"/>
      <c r="C82" s="87"/>
      <c r="D82" s="87"/>
      <c r="E82" s="87"/>
    </row>
    <row r="83">
      <c r="B83" s="87"/>
      <c r="C83" s="87"/>
      <c r="D83" s="87"/>
      <c r="E83" s="87"/>
    </row>
    <row r="84">
      <c r="B84" s="87"/>
      <c r="C84" s="87"/>
      <c r="D84" s="87"/>
      <c r="E84" s="87"/>
    </row>
    <row r="85">
      <c r="B85" s="87"/>
      <c r="C85" s="87"/>
      <c r="D85" s="87"/>
      <c r="E85" s="87"/>
    </row>
    <row r="86">
      <c r="B86" s="87"/>
      <c r="C86" s="87"/>
      <c r="D86" s="87"/>
      <c r="E86" s="87"/>
    </row>
    <row r="87">
      <c r="B87" s="87"/>
      <c r="C87" s="87"/>
      <c r="D87" s="87"/>
      <c r="E87" s="87"/>
    </row>
    <row r="88">
      <c r="B88" s="87"/>
      <c r="C88" s="87"/>
      <c r="D88" s="87"/>
      <c r="E88" s="87"/>
    </row>
    <row r="89">
      <c r="B89" s="87"/>
      <c r="C89" s="87"/>
      <c r="D89" s="87"/>
      <c r="E89" s="87"/>
    </row>
    <row r="90">
      <c r="B90" s="87"/>
      <c r="C90" s="87"/>
      <c r="D90" s="87"/>
      <c r="E90" s="87"/>
    </row>
    <row r="91">
      <c r="B91" s="87"/>
      <c r="C91" s="87"/>
      <c r="D91" s="87"/>
      <c r="E91" s="87"/>
    </row>
    <row r="92">
      <c r="B92" s="87"/>
      <c r="C92" s="87"/>
      <c r="D92" s="87"/>
      <c r="E92" s="87"/>
    </row>
    <row r="93">
      <c r="B93" s="87"/>
      <c r="C93" s="87"/>
      <c r="D93" s="87"/>
      <c r="E93" s="87"/>
    </row>
    <row r="94">
      <c r="B94" s="87"/>
      <c r="C94" s="87"/>
      <c r="D94" s="87"/>
      <c r="E94" s="87"/>
    </row>
    <row r="95">
      <c r="B95" s="87"/>
      <c r="C95" s="87"/>
      <c r="D95" s="87"/>
      <c r="E95" s="87"/>
    </row>
    <row r="96">
      <c r="B96" s="87"/>
      <c r="C96" s="87"/>
      <c r="D96" s="87"/>
      <c r="E96" s="87"/>
    </row>
    <row r="97">
      <c r="B97" s="87"/>
      <c r="C97" s="87"/>
      <c r="D97" s="87"/>
      <c r="E97" s="87"/>
    </row>
    <row r="98">
      <c r="B98" s="87"/>
      <c r="C98" s="87"/>
      <c r="D98" s="87"/>
      <c r="E98" s="87"/>
    </row>
    <row r="99">
      <c r="B99" s="87"/>
      <c r="C99" s="87"/>
      <c r="D99" s="87"/>
      <c r="E99" s="87"/>
    </row>
    <row r="100">
      <c r="B100" s="87"/>
      <c r="C100" s="87"/>
      <c r="D100" s="87"/>
      <c r="E100" s="87"/>
    </row>
    <row r="101">
      <c r="B101" s="87"/>
      <c r="C101" s="87"/>
      <c r="D101" s="87"/>
      <c r="E101" s="87"/>
    </row>
    <row r="102">
      <c r="B102" s="87"/>
      <c r="C102" s="87"/>
      <c r="D102" s="87"/>
      <c r="E102" s="87"/>
    </row>
    <row r="103">
      <c r="B103" s="87"/>
      <c r="C103" s="87"/>
      <c r="D103" s="87"/>
      <c r="E103" s="87"/>
    </row>
    <row r="104">
      <c r="B104" s="87"/>
      <c r="C104" s="87"/>
      <c r="D104" s="87"/>
      <c r="E104" s="87"/>
    </row>
    <row r="105">
      <c r="B105" s="87"/>
      <c r="C105" s="87"/>
      <c r="D105" s="87"/>
      <c r="E105" s="87"/>
    </row>
    <row r="106">
      <c r="B106" s="87"/>
      <c r="C106" s="87"/>
      <c r="D106" s="87"/>
      <c r="E106" s="87"/>
    </row>
    <row r="107">
      <c r="B107" s="87"/>
      <c r="C107" s="87"/>
      <c r="D107" s="87"/>
      <c r="E107" s="87"/>
    </row>
    <row r="108">
      <c r="B108" s="87"/>
      <c r="C108" s="87"/>
      <c r="D108" s="87"/>
      <c r="E108" s="87"/>
    </row>
    <row r="109">
      <c r="B109" s="87"/>
      <c r="C109" s="87"/>
      <c r="D109" s="87"/>
      <c r="E109" s="87"/>
    </row>
    <row r="110">
      <c r="B110" s="87"/>
      <c r="C110" s="87"/>
      <c r="D110" s="87"/>
      <c r="E110" s="87"/>
    </row>
    <row r="111">
      <c r="B111" s="87"/>
      <c r="C111" s="87"/>
      <c r="D111" s="87"/>
      <c r="E111" s="87"/>
    </row>
    <row r="112">
      <c r="B112" s="87"/>
      <c r="C112" s="87"/>
      <c r="D112" s="87"/>
      <c r="E112" s="87"/>
    </row>
    <row r="113">
      <c r="B113" s="87"/>
      <c r="C113" s="87"/>
      <c r="D113" s="87"/>
      <c r="E113" s="87"/>
    </row>
    <row r="114">
      <c r="B114" s="87"/>
      <c r="C114" s="87"/>
      <c r="D114" s="87"/>
      <c r="E114" s="87"/>
    </row>
    <row r="115">
      <c r="B115" s="87"/>
      <c r="C115" s="87"/>
      <c r="D115" s="87"/>
      <c r="E115" s="87"/>
    </row>
    <row r="116">
      <c r="B116" s="87"/>
      <c r="C116" s="87"/>
      <c r="D116" s="87"/>
      <c r="E116" s="87"/>
    </row>
    <row r="117">
      <c r="B117" s="87"/>
      <c r="C117" s="87"/>
      <c r="D117" s="87"/>
      <c r="E117" s="87"/>
    </row>
    <row r="118">
      <c r="B118" s="87"/>
      <c r="C118" s="87"/>
      <c r="D118" s="87"/>
      <c r="E118" s="87"/>
    </row>
    <row r="119">
      <c r="B119" s="87"/>
      <c r="C119" s="87"/>
      <c r="D119" s="87"/>
      <c r="E119" s="87"/>
    </row>
    <row r="120">
      <c r="B120" s="87"/>
      <c r="C120" s="87"/>
      <c r="D120" s="87"/>
      <c r="E120" s="87"/>
    </row>
    <row r="121">
      <c r="B121" s="87"/>
      <c r="C121" s="87"/>
      <c r="D121" s="87"/>
      <c r="E121" s="87"/>
    </row>
    <row r="122">
      <c r="B122" s="87"/>
      <c r="C122" s="87"/>
      <c r="D122" s="87"/>
      <c r="E122" s="87"/>
    </row>
    <row r="123">
      <c r="B123" s="87"/>
      <c r="C123" s="87"/>
      <c r="D123" s="87"/>
      <c r="E123" s="87"/>
    </row>
    <row r="124">
      <c r="B124" s="87"/>
      <c r="C124" s="87"/>
      <c r="D124" s="87"/>
      <c r="E124" s="87"/>
    </row>
    <row r="125">
      <c r="B125" s="87"/>
      <c r="C125" s="87"/>
      <c r="D125" s="87"/>
      <c r="E125" s="87"/>
    </row>
    <row r="126">
      <c r="B126" s="87"/>
      <c r="C126" s="87"/>
      <c r="D126" s="87"/>
      <c r="E126" s="87"/>
    </row>
    <row r="127">
      <c r="B127" s="87"/>
      <c r="C127" s="87"/>
      <c r="D127" s="87"/>
      <c r="E127" s="87"/>
    </row>
    <row r="128">
      <c r="B128" s="87"/>
      <c r="C128" s="87"/>
      <c r="D128" s="87"/>
      <c r="E128" s="87"/>
    </row>
    <row r="129">
      <c r="B129" s="87"/>
      <c r="C129" s="87"/>
      <c r="D129" s="87"/>
      <c r="E129" s="87"/>
    </row>
    <row r="130">
      <c r="B130" s="87"/>
      <c r="C130" s="87"/>
      <c r="D130" s="87"/>
      <c r="E130" s="87"/>
    </row>
    <row r="131">
      <c r="B131" s="87"/>
      <c r="C131" s="87"/>
      <c r="D131" s="87"/>
      <c r="E131" s="87"/>
    </row>
    <row r="132">
      <c r="B132" s="87"/>
      <c r="C132" s="87"/>
      <c r="D132" s="87"/>
      <c r="E132" s="87"/>
    </row>
    <row r="133">
      <c r="B133" s="87"/>
      <c r="C133" s="87"/>
      <c r="D133" s="87"/>
      <c r="E133" s="87"/>
    </row>
    <row r="134">
      <c r="B134" s="87"/>
      <c r="C134" s="87"/>
      <c r="D134" s="87"/>
      <c r="E134" s="87"/>
    </row>
    <row r="135">
      <c r="B135" s="87"/>
      <c r="C135" s="87"/>
      <c r="D135" s="87"/>
      <c r="E135" s="87"/>
    </row>
    <row r="136">
      <c r="B136" s="87"/>
      <c r="C136" s="87"/>
      <c r="D136" s="87"/>
      <c r="E136" s="87"/>
    </row>
    <row r="137">
      <c r="B137" s="87"/>
      <c r="C137" s="87"/>
      <c r="D137" s="87"/>
      <c r="E137" s="87"/>
    </row>
    <row r="138">
      <c r="B138" s="87"/>
      <c r="C138" s="87"/>
      <c r="D138" s="87"/>
      <c r="E138" s="87"/>
    </row>
    <row r="139">
      <c r="B139" s="87"/>
      <c r="C139" s="87"/>
      <c r="D139" s="87"/>
      <c r="E139" s="87"/>
    </row>
    <row r="140">
      <c r="B140" s="87"/>
      <c r="C140" s="87"/>
      <c r="D140" s="87"/>
      <c r="E140" s="87"/>
    </row>
    <row r="141">
      <c r="B141" s="87"/>
      <c r="C141" s="87"/>
      <c r="D141" s="87"/>
      <c r="E141" s="87"/>
    </row>
    <row r="142">
      <c r="B142" s="87"/>
      <c r="C142" s="87"/>
      <c r="D142" s="87"/>
      <c r="E142" s="87"/>
    </row>
    <row r="143">
      <c r="B143" s="87"/>
      <c r="C143" s="87"/>
      <c r="D143" s="87"/>
      <c r="E143" s="87"/>
    </row>
    <row r="144">
      <c r="B144" s="87"/>
      <c r="C144" s="87"/>
      <c r="D144" s="87"/>
      <c r="E144" s="87"/>
    </row>
    <row r="145">
      <c r="B145" s="87"/>
      <c r="C145" s="87"/>
      <c r="D145" s="87"/>
      <c r="E145" s="87"/>
    </row>
    <row r="146">
      <c r="B146" s="87"/>
      <c r="C146" s="87"/>
      <c r="D146" s="87"/>
      <c r="E146" s="87"/>
    </row>
    <row r="147">
      <c r="B147" s="87"/>
      <c r="C147" s="87"/>
      <c r="D147" s="87"/>
      <c r="E147" s="87"/>
    </row>
    <row r="148">
      <c r="B148" s="87"/>
      <c r="C148" s="87"/>
      <c r="D148" s="87"/>
      <c r="E148" s="87"/>
    </row>
    <row r="149">
      <c r="B149" s="87"/>
      <c r="C149" s="87"/>
      <c r="D149" s="87"/>
      <c r="E149" s="87"/>
    </row>
    <row r="150">
      <c r="B150" s="87"/>
      <c r="C150" s="87"/>
      <c r="D150" s="87"/>
      <c r="E150" s="87"/>
    </row>
    <row r="151">
      <c r="B151" s="87"/>
      <c r="C151" s="87"/>
      <c r="D151" s="87"/>
      <c r="E151" s="87"/>
    </row>
    <row r="152">
      <c r="B152" s="87"/>
      <c r="C152" s="87"/>
      <c r="D152" s="87"/>
      <c r="E152" s="87"/>
    </row>
    <row r="153">
      <c r="B153" s="87"/>
      <c r="C153" s="87"/>
      <c r="D153" s="87"/>
      <c r="E153" s="87"/>
    </row>
    <row r="154">
      <c r="B154" s="87"/>
      <c r="C154" s="87"/>
      <c r="D154" s="87"/>
      <c r="E154" s="87"/>
    </row>
    <row r="155">
      <c r="B155" s="87"/>
      <c r="C155" s="87"/>
      <c r="D155" s="87"/>
      <c r="E155" s="87"/>
    </row>
    <row r="156">
      <c r="B156" s="87"/>
      <c r="C156" s="87"/>
      <c r="D156" s="87"/>
      <c r="E156" s="87"/>
    </row>
    <row r="157">
      <c r="B157" s="87"/>
      <c r="C157" s="87"/>
      <c r="D157" s="87"/>
      <c r="E157" s="87"/>
    </row>
    <row r="158">
      <c r="B158" s="87"/>
      <c r="C158" s="87"/>
      <c r="D158" s="87"/>
      <c r="E158" s="87"/>
    </row>
    <row r="159">
      <c r="B159" s="87"/>
      <c r="C159" s="87"/>
      <c r="D159" s="87"/>
      <c r="E159" s="87"/>
    </row>
    <row r="160">
      <c r="B160" s="87"/>
      <c r="C160" s="87"/>
      <c r="D160" s="87"/>
      <c r="E160" s="87"/>
    </row>
    <row r="161">
      <c r="B161" s="87"/>
      <c r="C161" s="87"/>
      <c r="D161" s="87"/>
      <c r="E161" s="87"/>
    </row>
    <row r="162">
      <c r="B162" s="87"/>
      <c r="C162" s="87"/>
      <c r="D162" s="87"/>
      <c r="E162" s="87"/>
    </row>
    <row r="163">
      <c r="B163" s="87"/>
      <c r="C163" s="87"/>
      <c r="D163" s="87"/>
      <c r="E163" s="87"/>
    </row>
    <row r="164">
      <c r="B164" s="87"/>
      <c r="C164" s="87"/>
      <c r="D164" s="87"/>
      <c r="E164" s="87"/>
    </row>
    <row r="165">
      <c r="B165" s="87"/>
      <c r="C165" s="87"/>
      <c r="D165" s="87"/>
      <c r="E165" s="87"/>
    </row>
    <row r="166">
      <c r="B166" s="87"/>
      <c r="C166" s="87"/>
      <c r="D166" s="87"/>
      <c r="E166" s="87"/>
    </row>
    <row r="167">
      <c r="B167" s="87"/>
      <c r="C167" s="87"/>
      <c r="D167" s="87"/>
      <c r="E167" s="87"/>
    </row>
    <row r="168">
      <c r="B168" s="87"/>
      <c r="C168" s="87"/>
      <c r="D168" s="87"/>
      <c r="E168" s="87"/>
    </row>
    <row r="169">
      <c r="B169" s="87"/>
      <c r="C169" s="87"/>
      <c r="D169" s="87"/>
      <c r="E169" s="87"/>
    </row>
    <row r="170">
      <c r="B170" s="87"/>
      <c r="C170" s="87"/>
      <c r="D170" s="87"/>
      <c r="E170" s="87"/>
    </row>
    <row r="171">
      <c r="B171" s="87"/>
      <c r="C171" s="87"/>
      <c r="D171" s="87"/>
      <c r="E171" s="87"/>
    </row>
    <row r="172">
      <c r="B172" s="87"/>
      <c r="C172" s="87"/>
      <c r="D172" s="87"/>
      <c r="E172" s="87"/>
    </row>
    <row r="173">
      <c r="B173" s="87"/>
      <c r="C173" s="87"/>
      <c r="D173" s="87"/>
      <c r="E173" s="87"/>
    </row>
    <row r="174">
      <c r="B174" s="87"/>
      <c r="C174" s="87"/>
      <c r="D174" s="87"/>
      <c r="E174" s="87"/>
    </row>
    <row r="175">
      <c r="B175" s="87"/>
      <c r="C175" s="87"/>
      <c r="D175" s="87"/>
      <c r="E175" s="87"/>
    </row>
    <row r="176">
      <c r="B176" s="87"/>
      <c r="C176" s="87"/>
      <c r="D176" s="87"/>
      <c r="E176" s="87"/>
    </row>
    <row r="177">
      <c r="B177" s="87"/>
      <c r="C177" s="87"/>
      <c r="D177" s="87"/>
      <c r="E177" s="87"/>
    </row>
    <row r="178">
      <c r="B178" s="87"/>
      <c r="C178" s="87"/>
      <c r="D178" s="87"/>
      <c r="E178" s="87"/>
    </row>
    <row r="179">
      <c r="B179" s="87"/>
      <c r="C179" s="87"/>
      <c r="D179" s="87"/>
      <c r="E179" s="87"/>
    </row>
    <row r="180">
      <c r="B180" s="87"/>
      <c r="C180" s="87"/>
      <c r="D180" s="87"/>
      <c r="E180" s="87"/>
    </row>
    <row r="181">
      <c r="B181" s="87"/>
      <c r="C181" s="87"/>
      <c r="D181" s="87"/>
      <c r="E181" s="87"/>
    </row>
    <row r="182">
      <c r="B182" s="87"/>
      <c r="C182" s="87"/>
      <c r="D182" s="87"/>
      <c r="E182" s="87"/>
    </row>
    <row r="183">
      <c r="B183" s="87"/>
      <c r="C183" s="87"/>
      <c r="D183" s="87"/>
      <c r="E183" s="87"/>
    </row>
    <row r="184">
      <c r="B184" s="87"/>
      <c r="C184" s="87"/>
      <c r="D184" s="87"/>
      <c r="E184" s="87"/>
    </row>
    <row r="185">
      <c r="B185" s="87"/>
      <c r="C185" s="87"/>
      <c r="D185" s="87"/>
      <c r="E185" s="87"/>
    </row>
    <row r="186">
      <c r="B186" s="87"/>
      <c r="C186" s="87"/>
      <c r="D186" s="87"/>
      <c r="E186" s="87"/>
    </row>
    <row r="187">
      <c r="B187" s="87"/>
      <c r="C187" s="87"/>
      <c r="D187" s="87"/>
      <c r="E187" s="87"/>
    </row>
    <row r="188">
      <c r="B188" s="87"/>
      <c r="C188" s="87"/>
      <c r="D188" s="87"/>
      <c r="E188" s="87"/>
    </row>
    <row r="189">
      <c r="B189" s="87"/>
      <c r="C189" s="87"/>
      <c r="D189" s="87"/>
      <c r="E189" s="87"/>
    </row>
    <row r="190">
      <c r="B190" s="87"/>
      <c r="C190" s="87"/>
      <c r="D190" s="87"/>
      <c r="E190" s="87"/>
    </row>
    <row r="191">
      <c r="B191" s="87"/>
      <c r="C191" s="87"/>
      <c r="D191" s="87"/>
      <c r="E191" s="87"/>
    </row>
    <row r="192">
      <c r="B192" s="87"/>
      <c r="C192" s="87"/>
      <c r="D192" s="87"/>
      <c r="E192" s="87"/>
    </row>
    <row r="193">
      <c r="B193" s="87"/>
      <c r="C193" s="87"/>
      <c r="D193" s="87"/>
      <c r="E193" s="87"/>
    </row>
    <row r="194">
      <c r="B194" s="87"/>
      <c r="C194" s="87"/>
      <c r="D194" s="87"/>
      <c r="E194" s="87"/>
    </row>
    <row r="195">
      <c r="B195" s="87"/>
      <c r="C195" s="87"/>
      <c r="D195" s="87"/>
      <c r="E195" s="87"/>
    </row>
    <row r="196">
      <c r="B196" s="87"/>
      <c r="C196" s="87"/>
      <c r="D196" s="87"/>
      <c r="E196" s="87"/>
    </row>
    <row r="197">
      <c r="B197" s="87"/>
      <c r="C197" s="87"/>
      <c r="D197" s="87"/>
      <c r="E197" s="87"/>
    </row>
    <row r="198">
      <c r="B198" s="87"/>
      <c r="C198" s="87"/>
      <c r="D198" s="87"/>
      <c r="E198" s="87"/>
    </row>
    <row r="199">
      <c r="B199" s="87"/>
      <c r="C199" s="87"/>
      <c r="D199" s="87"/>
      <c r="E199" s="87"/>
    </row>
    <row r="200">
      <c r="B200" s="87"/>
      <c r="C200" s="87"/>
      <c r="D200" s="87"/>
      <c r="E200" s="87"/>
    </row>
    <row r="201">
      <c r="B201" s="87"/>
      <c r="C201" s="87"/>
      <c r="D201" s="87"/>
      <c r="E201" s="87"/>
    </row>
    <row r="202">
      <c r="B202" s="87"/>
      <c r="C202" s="87"/>
      <c r="D202" s="87"/>
      <c r="E202" s="87"/>
    </row>
    <row r="203">
      <c r="B203" s="87"/>
      <c r="C203" s="87"/>
      <c r="D203" s="87"/>
      <c r="E203" s="87"/>
    </row>
    <row r="204">
      <c r="B204" s="87"/>
      <c r="C204" s="87"/>
      <c r="D204" s="87"/>
      <c r="E204" s="87"/>
    </row>
    <row r="205">
      <c r="B205" s="87"/>
      <c r="C205" s="87"/>
      <c r="D205" s="87"/>
      <c r="E205" s="87"/>
    </row>
    <row r="206">
      <c r="B206" s="87"/>
      <c r="C206" s="87"/>
      <c r="D206" s="87"/>
      <c r="E206" s="87"/>
    </row>
    <row r="207">
      <c r="B207" s="87"/>
      <c r="C207" s="87"/>
      <c r="D207" s="87"/>
      <c r="E207" s="87"/>
    </row>
    <row r="208">
      <c r="B208" s="87"/>
      <c r="C208" s="87"/>
      <c r="D208" s="87"/>
      <c r="E208" s="87"/>
    </row>
    <row r="209">
      <c r="B209" s="87"/>
      <c r="C209" s="87"/>
      <c r="D209" s="87"/>
      <c r="E209" s="87"/>
    </row>
    <row r="210">
      <c r="B210" s="87"/>
      <c r="C210" s="87"/>
      <c r="D210" s="87"/>
      <c r="E210" s="87"/>
    </row>
    <row r="211">
      <c r="B211" s="87"/>
      <c r="C211" s="87"/>
      <c r="D211" s="87"/>
      <c r="E211" s="87"/>
    </row>
    <row r="212">
      <c r="B212" s="87"/>
      <c r="C212" s="87"/>
      <c r="D212" s="87"/>
      <c r="E212" s="87"/>
    </row>
    <row r="213">
      <c r="B213" s="87"/>
      <c r="C213" s="87"/>
      <c r="D213" s="87"/>
      <c r="E213" s="87"/>
    </row>
    <row r="214">
      <c r="B214" s="87"/>
      <c r="C214" s="87"/>
      <c r="D214" s="87"/>
      <c r="E214" s="87"/>
    </row>
    <row r="215">
      <c r="B215" s="87"/>
      <c r="C215" s="87"/>
      <c r="D215" s="87"/>
      <c r="E215" s="87"/>
    </row>
    <row r="216">
      <c r="B216" s="87"/>
      <c r="C216" s="87"/>
      <c r="D216" s="87"/>
      <c r="E216" s="87"/>
    </row>
    <row r="217">
      <c r="B217" s="87"/>
      <c r="C217" s="87"/>
      <c r="D217" s="87"/>
      <c r="E217" s="87"/>
    </row>
    <row r="218">
      <c r="B218" s="87"/>
      <c r="C218" s="87"/>
      <c r="D218" s="87"/>
      <c r="E218" s="87"/>
    </row>
    <row r="219">
      <c r="B219" s="87"/>
      <c r="C219" s="87"/>
      <c r="D219" s="87"/>
      <c r="E219" s="87"/>
    </row>
    <row r="220">
      <c r="B220" s="87"/>
      <c r="C220" s="87"/>
      <c r="D220" s="87"/>
      <c r="E220" s="87"/>
    </row>
    <row r="221">
      <c r="B221" s="87"/>
      <c r="C221" s="87"/>
      <c r="D221" s="87"/>
      <c r="E221" s="87"/>
    </row>
    <row r="222">
      <c r="B222" s="87"/>
      <c r="C222" s="87"/>
      <c r="D222" s="87"/>
      <c r="E222" s="87"/>
    </row>
    <row r="223">
      <c r="B223" s="87"/>
      <c r="C223" s="87"/>
      <c r="D223" s="87"/>
      <c r="E223" s="87"/>
    </row>
    <row r="224">
      <c r="B224" s="87"/>
      <c r="C224" s="87"/>
      <c r="D224" s="87"/>
      <c r="E224" s="87"/>
    </row>
    <row r="225">
      <c r="B225" s="87"/>
      <c r="C225" s="87"/>
      <c r="D225" s="87"/>
      <c r="E225" s="87"/>
    </row>
    <row r="226">
      <c r="B226" s="87"/>
      <c r="C226" s="87"/>
      <c r="D226" s="87"/>
      <c r="E226" s="87"/>
    </row>
    <row r="227">
      <c r="B227" s="87"/>
      <c r="C227" s="87"/>
      <c r="D227" s="87"/>
      <c r="E227" s="87"/>
    </row>
    <row r="228">
      <c r="B228" s="87"/>
      <c r="C228" s="87"/>
      <c r="D228" s="87"/>
      <c r="E228" s="87"/>
    </row>
    <row r="229">
      <c r="B229" s="87"/>
      <c r="C229" s="87"/>
      <c r="D229" s="87"/>
      <c r="E229" s="87"/>
    </row>
    <row r="230">
      <c r="B230" s="87"/>
      <c r="C230" s="87"/>
      <c r="D230" s="87"/>
      <c r="E230" s="87"/>
    </row>
    <row r="231">
      <c r="B231" s="87"/>
      <c r="C231" s="87"/>
      <c r="D231" s="87"/>
      <c r="E231" s="87"/>
    </row>
    <row r="232">
      <c r="B232" s="87"/>
      <c r="C232" s="87"/>
      <c r="D232" s="87"/>
      <c r="E232" s="87"/>
    </row>
    <row r="233">
      <c r="B233" s="87"/>
      <c r="C233" s="87"/>
      <c r="D233" s="87"/>
      <c r="E233" s="87"/>
    </row>
    <row r="234">
      <c r="B234" s="87"/>
      <c r="C234" s="87"/>
      <c r="D234" s="87"/>
      <c r="E234" s="87"/>
    </row>
    <row r="235">
      <c r="B235" s="87"/>
      <c r="C235" s="87"/>
      <c r="D235" s="87"/>
      <c r="E235" s="87"/>
    </row>
    <row r="236">
      <c r="B236" s="87"/>
      <c r="C236" s="87"/>
      <c r="D236" s="87"/>
      <c r="E236" s="87"/>
    </row>
    <row r="237">
      <c r="B237" s="87"/>
      <c r="C237" s="87"/>
      <c r="D237" s="87"/>
      <c r="E237" s="87"/>
    </row>
    <row r="238">
      <c r="B238" s="87"/>
      <c r="C238" s="87"/>
      <c r="D238" s="87"/>
      <c r="E238" s="87"/>
    </row>
    <row r="239">
      <c r="B239" s="87"/>
      <c r="C239" s="87"/>
      <c r="D239" s="87"/>
      <c r="E239" s="87"/>
    </row>
    <row r="240">
      <c r="B240" s="87"/>
      <c r="C240" s="87"/>
      <c r="D240" s="87"/>
      <c r="E240" s="87"/>
    </row>
    <row r="241">
      <c r="B241" s="87"/>
      <c r="C241" s="87"/>
      <c r="D241" s="87"/>
      <c r="E241" s="87"/>
    </row>
    <row r="242">
      <c r="B242" s="87"/>
      <c r="C242" s="87"/>
      <c r="D242" s="87"/>
      <c r="E242" s="87"/>
    </row>
    <row r="243">
      <c r="B243" s="87"/>
      <c r="C243" s="87"/>
      <c r="D243" s="87"/>
      <c r="E243" s="87"/>
    </row>
    <row r="244">
      <c r="B244" s="87"/>
      <c r="C244" s="87"/>
      <c r="D244" s="87"/>
      <c r="E244" s="87"/>
    </row>
    <row r="245">
      <c r="B245" s="87"/>
      <c r="C245" s="87"/>
      <c r="D245" s="87"/>
      <c r="E245" s="87"/>
    </row>
    <row r="246">
      <c r="B246" s="87"/>
      <c r="C246" s="87"/>
      <c r="D246" s="87"/>
      <c r="E246" s="87"/>
    </row>
    <row r="247">
      <c r="B247" s="87"/>
      <c r="C247" s="87"/>
      <c r="D247" s="87"/>
      <c r="E247" s="87"/>
    </row>
    <row r="248">
      <c r="B248" s="87"/>
      <c r="C248" s="87"/>
      <c r="D248" s="87"/>
      <c r="E248" s="87"/>
    </row>
    <row r="249">
      <c r="B249" s="87"/>
      <c r="C249" s="87"/>
      <c r="D249" s="87"/>
      <c r="E249" s="87"/>
    </row>
    <row r="250">
      <c r="B250" s="87"/>
      <c r="C250" s="87"/>
      <c r="D250" s="87"/>
      <c r="E250" s="87"/>
    </row>
    <row r="251">
      <c r="B251" s="87"/>
      <c r="C251" s="87"/>
      <c r="D251" s="87"/>
      <c r="E251" s="87"/>
    </row>
    <row r="252">
      <c r="B252" s="87"/>
      <c r="C252" s="87"/>
      <c r="D252" s="87"/>
      <c r="E252" s="87"/>
    </row>
    <row r="253">
      <c r="B253" s="87"/>
      <c r="C253" s="87"/>
      <c r="D253" s="87"/>
      <c r="E253" s="87"/>
    </row>
    <row r="254">
      <c r="B254" s="87"/>
      <c r="C254" s="87"/>
      <c r="D254" s="87"/>
      <c r="E254" s="87"/>
    </row>
    <row r="255">
      <c r="B255" s="87"/>
      <c r="C255" s="87"/>
      <c r="D255" s="87"/>
      <c r="E255" s="87"/>
    </row>
    <row r="256">
      <c r="B256" s="87"/>
      <c r="C256" s="87"/>
      <c r="D256" s="87"/>
      <c r="E256" s="87"/>
    </row>
    <row r="257">
      <c r="B257" s="87"/>
      <c r="C257" s="87"/>
      <c r="D257" s="87"/>
      <c r="E257" s="87"/>
    </row>
    <row r="258">
      <c r="B258" s="87"/>
      <c r="C258" s="87"/>
      <c r="D258" s="87"/>
      <c r="E258" s="87"/>
    </row>
    <row r="259">
      <c r="B259" s="87"/>
      <c r="C259" s="87"/>
      <c r="D259" s="87"/>
      <c r="E259" s="87"/>
    </row>
    <row r="260">
      <c r="B260" s="87"/>
      <c r="C260" s="87"/>
      <c r="D260" s="87"/>
      <c r="E260" s="87"/>
    </row>
    <row r="261">
      <c r="B261" s="87"/>
      <c r="C261" s="87"/>
      <c r="D261" s="87"/>
      <c r="E261" s="87"/>
    </row>
    <row r="262">
      <c r="B262" s="87"/>
      <c r="C262" s="87"/>
      <c r="D262" s="87"/>
      <c r="E262" s="87"/>
    </row>
    <row r="263">
      <c r="B263" s="87"/>
      <c r="C263" s="87"/>
      <c r="D263" s="87"/>
      <c r="E263" s="87"/>
    </row>
    <row r="264">
      <c r="B264" s="87"/>
      <c r="C264" s="87"/>
      <c r="D264" s="87"/>
      <c r="E264" s="87"/>
    </row>
    <row r="265">
      <c r="B265" s="87"/>
      <c r="C265" s="87"/>
      <c r="D265" s="87"/>
      <c r="E265" s="87"/>
    </row>
    <row r="266">
      <c r="B266" s="87"/>
      <c r="C266" s="87"/>
      <c r="D266" s="87"/>
      <c r="E266" s="87"/>
    </row>
    <row r="267">
      <c r="B267" s="87"/>
      <c r="C267" s="87"/>
      <c r="D267" s="87"/>
      <c r="E267" s="87"/>
    </row>
    <row r="268">
      <c r="B268" s="87"/>
      <c r="C268" s="87"/>
      <c r="D268" s="87"/>
      <c r="E268" s="87"/>
    </row>
    <row r="269">
      <c r="B269" s="87"/>
      <c r="C269" s="87"/>
      <c r="D269" s="87"/>
      <c r="E269" s="87"/>
    </row>
    <row r="270">
      <c r="B270" s="87"/>
      <c r="C270" s="87"/>
      <c r="D270" s="87"/>
      <c r="E270" s="87"/>
    </row>
    <row r="271">
      <c r="B271" s="87"/>
      <c r="C271" s="87"/>
      <c r="D271" s="87"/>
      <c r="E271" s="87"/>
    </row>
    <row r="272">
      <c r="B272" s="87"/>
      <c r="C272" s="87"/>
      <c r="D272" s="87"/>
      <c r="E272" s="87"/>
    </row>
    <row r="273">
      <c r="B273" s="87"/>
      <c r="C273" s="87"/>
      <c r="D273" s="87"/>
      <c r="E273" s="87"/>
    </row>
    <row r="274">
      <c r="B274" s="87"/>
      <c r="C274" s="87"/>
      <c r="D274" s="87"/>
      <c r="E274" s="87"/>
    </row>
    <row r="275">
      <c r="B275" s="87"/>
      <c r="C275" s="87"/>
      <c r="D275" s="87"/>
      <c r="E275" s="87"/>
    </row>
    <row r="276">
      <c r="B276" s="87"/>
      <c r="C276" s="87"/>
      <c r="D276" s="87"/>
      <c r="E276" s="87"/>
    </row>
    <row r="277">
      <c r="B277" s="87"/>
      <c r="C277" s="87"/>
      <c r="D277" s="87"/>
      <c r="E277" s="87"/>
    </row>
    <row r="278">
      <c r="B278" s="87"/>
      <c r="C278" s="87"/>
      <c r="D278" s="87"/>
      <c r="E278" s="87"/>
    </row>
    <row r="279">
      <c r="B279" s="87"/>
      <c r="C279" s="87"/>
      <c r="D279" s="87"/>
      <c r="E279" s="87"/>
    </row>
    <row r="280">
      <c r="B280" s="87"/>
      <c r="C280" s="87"/>
      <c r="D280" s="87"/>
      <c r="E280" s="87"/>
    </row>
    <row r="281">
      <c r="B281" s="87"/>
      <c r="C281" s="87"/>
      <c r="D281" s="87"/>
      <c r="E281" s="87"/>
    </row>
    <row r="282">
      <c r="B282" s="87"/>
      <c r="C282" s="87"/>
      <c r="D282" s="87"/>
      <c r="E282" s="87"/>
    </row>
    <row r="283">
      <c r="B283" s="87"/>
      <c r="C283" s="87"/>
      <c r="D283" s="87"/>
      <c r="E283" s="87"/>
    </row>
    <row r="284">
      <c r="B284" s="87"/>
      <c r="C284" s="87"/>
      <c r="D284" s="87"/>
      <c r="E284" s="87"/>
    </row>
    <row r="285">
      <c r="B285" s="87"/>
      <c r="C285" s="87"/>
      <c r="D285" s="87"/>
      <c r="E285" s="87"/>
    </row>
    <row r="286">
      <c r="B286" s="87"/>
      <c r="C286" s="87"/>
      <c r="D286" s="87"/>
      <c r="E286" s="87"/>
    </row>
    <row r="287">
      <c r="B287" s="87"/>
      <c r="C287" s="87"/>
      <c r="D287" s="87"/>
      <c r="E287" s="87"/>
    </row>
    <row r="288">
      <c r="B288" s="87"/>
      <c r="C288" s="87"/>
      <c r="D288" s="87"/>
      <c r="E288" s="87"/>
    </row>
    <row r="289">
      <c r="B289" s="87"/>
      <c r="C289" s="87"/>
      <c r="D289" s="87"/>
      <c r="E289" s="87"/>
    </row>
    <row r="290">
      <c r="B290" s="87"/>
      <c r="C290" s="87"/>
      <c r="D290" s="87"/>
      <c r="E290" s="87"/>
    </row>
    <row r="291">
      <c r="B291" s="87"/>
      <c r="C291" s="87"/>
      <c r="D291" s="87"/>
      <c r="E291" s="87"/>
    </row>
    <row r="292">
      <c r="B292" s="87"/>
      <c r="C292" s="87"/>
      <c r="D292" s="87"/>
      <c r="E292" s="87"/>
    </row>
    <row r="293">
      <c r="B293" s="87"/>
      <c r="C293" s="87"/>
      <c r="D293" s="87"/>
      <c r="E293" s="87"/>
    </row>
    <row r="294">
      <c r="B294" s="87"/>
      <c r="C294" s="87"/>
      <c r="D294" s="87"/>
      <c r="E294" s="87"/>
    </row>
    <row r="295">
      <c r="B295" s="87"/>
      <c r="C295" s="87"/>
      <c r="D295" s="87"/>
      <c r="E295" s="87"/>
    </row>
    <row r="296">
      <c r="B296" s="87"/>
      <c r="C296" s="87"/>
      <c r="D296" s="87"/>
      <c r="E296" s="87"/>
    </row>
    <row r="297">
      <c r="B297" s="87"/>
      <c r="C297" s="87"/>
      <c r="D297" s="87"/>
      <c r="E297" s="87"/>
    </row>
    <row r="298">
      <c r="B298" s="87"/>
      <c r="C298" s="87"/>
      <c r="D298" s="87"/>
      <c r="E298" s="87"/>
    </row>
    <row r="299">
      <c r="B299" s="87"/>
      <c r="C299" s="87"/>
      <c r="D299" s="87"/>
      <c r="E299" s="87"/>
    </row>
    <row r="300">
      <c r="B300" s="87"/>
      <c r="C300" s="87"/>
      <c r="D300" s="87"/>
      <c r="E300" s="87"/>
    </row>
    <row r="301">
      <c r="B301" s="87"/>
      <c r="C301" s="87"/>
      <c r="D301" s="87"/>
      <c r="E301" s="87"/>
    </row>
    <row r="302">
      <c r="B302" s="87"/>
      <c r="C302" s="87"/>
      <c r="D302" s="87"/>
      <c r="E302" s="87"/>
    </row>
    <row r="303">
      <c r="B303" s="87"/>
      <c r="C303" s="87"/>
      <c r="D303" s="87"/>
      <c r="E303" s="87"/>
    </row>
    <row r="304">
      <c r="B304" s="87"/>
      <c r="C304" s="87"/>
      <c r="D304" s="87"/>
      <c r="E304" s="87"/>
    </row>
    <row r="305">
      <c r="B305" s="87"/>
      <c r="C305" s="87"/>
      <c r="D305" s="87"/>
      <c r="E305" s="87"/>
    </row>
    <row r="306">
      <c r="B306" s="87"/>
      <c r="C306" s="87"/>
      <c r="D306" s="87"/>
      <c r="E306" s="87"/>
    </row>
    <row r="307">
      <c r="B307" s="87"/>
      <c r="C307" s="87"/>
      <c r="D307" s="87"/>
      <c r="E307" s="87"/>
    </row>
    <row r="308">
      <c r="B308" s="87"/>
      <c r="C308" s="87"/>
      <c r="D308" s="87"/>
      <c r="E308" s="87"/>
    </row>
    <row r="309">
      <c r="B309" s="87"/>
      <c r="C309" s="87"/>
      <c r="D309" s="87"/>
      <c r="E309" s="87"/>
    </row>
    <row r="310">
      <c r="B310" s="87"/>
      <c r="C310" s="87"/>
      <c r="D310" s="87"/>
      <c r="E310" s="87"/>
    </row>
    <row r="311">
      <c r="B311" s="87"/>
      <c r="C311" s="87"/>
      <c r="D311" s="87"/>
      <c r="E311" s="87"/>
    </row>
    <row r="312">
      <c r="B312" s="87"/>
      <c r="C312" s="87"/>
      <c r="D312" s="87"/>
      <c r="E312" s="87"/>
    </row>
    <row r="313">
      <c r="B313" s="87"/>
      <c r="C313" s="87"/>
      <c r="D313" s="87"/>
      <c r="E313" s="87"/>
    </row>
    <row r="314">
      <c r="B314" s="87"/>
      <c r="C314" s="87"/>
      <c r="D314" s="87"/>
      <c r="E314" s="87"/>
    </row>
    <row r="315">
      <c r="B315" s="87"/>
      <c r="C315" s="87"/>
      <c r="D315" s="87"/>
      <c r="E315" s="87"/>
    </row>
    <row r="316">
      <c r="B316" s="87"/>
      <c r="C316" s="87"/>
      <c r="D316" s="87"/>
      <c r="E316" s="87"/>
    </row>
    <row r="317">
      <c r="B317" s="87"/>
      <c r="C317" s="87"/>
      <c r="D317" s="87"/>
      <c r="E317" s="87"/>
    </row>
    <row r="318">
      <c r="B318" s="87"/>
      <c r="C318" s="87"/>
      <c r="D318" s="87"/>
      <c r="E318" s="87"/>
    </row>
    <row r="319">
      <c r="B319" s="87"/>
      <c r="C319" s="87"/>
      <c r="D319" s="87"/>
      <c r="E319" s="87"/>
    </row>
    <row r="320">
      <c r="B320" s="87"/>
      <c r="C320" s="87"/>
      <c r="D320" s="87"/>
      <c r="E320" s="87"/>
    </row>
    <row r="321">
      <c r="B321" s="87"/>
      <c r="C321" s="87"/>
      <c r="D321" s="87"/>
      <c r="E321" s="87"/>
    </row>
    <row r="322">
      <c r="B322" s="87"/>
      <c r="C322" s="87"/>
      <c r="D322" s="87"/>
      <c r="E322" s="87"/>
    </row>
    <row r="323">
      <c r="B323" s="87"/>
      <c r="C323" s="87"/>
      <c r="D323" s="87"/>
      <c r="E323" s="87"/>
    </row>
    <row r="324">
      <c r="B324" s="87"/>
      <c r="C324" s="87"/>
      <c r="D324" s="87"/>
      <c r="E324" s="87"/>
    </row>
    <row r="325">
      <c r="B325" s="87"/>
      <c r="C325" s="87"/>
      <c r="D325" s="87"/>
      <c r="E325" s="87"/>
    </row>
    <row r="326">
      <c r="B326" s="87"/>
      <c r="C326" s="87"/>
      <c r="D326" s="87"/>
      <c r="E326" s="87"/>
    </row>
    <row r="327">
      <c r="B327" s="87"/>
      <c r="C327" s="87"/>
      <c r="D327" s="87"/>
      <c r="E327" s="87"/>
    </row>
    <row r="328">
      <c r="B328" s="87"/>
      <c r="C328" s="87"/>
      <c r="D328" s="87"/>
      <c r="E328" s="87"/>
    </row>
    <row r="329">
      <c r="B329" s="87"/>
      <c r="C329" s="87"/>
      <c r="D329" s="87"/>
      <c r="E329" s="87"/>
    </row>
    <row r="330">
      <c r="B330" s="87"/>
      <c r="C330" s="87"/>
      <c r="D330" s="87"/>
      <c r="E330" s="87"/>
    </row>
    <row r="331">
      <c r="B331" s="87"/>
      <c r="C331" s="87"/>
      <c r="D331" s="87"/>
      <c r="E331" s="87"/>
    </row>
    <row r="332">
      <c r="B332" s="87"/>
      <c r="C332" s="87"/>
      <c r="D332" s="87"/>
      <c r="E332" s="87"/>
    </row>
    <row r="333">
      <c r="B333" s="87"/>
      <c r="C333" s="87"/>
      <c r="D333" s="87"/>
      <c r="E333" s="87"/>
    </row>
    <row r="334">
      <c r="B334" s="87"/>
      <c r="C334" s="87"/>
      <c r="D334" s="87"/>
      <c r="E334" s="87"/>
    </row>
    <row r="335">
      <c r="B335" s="87"/>
      <c r="C335" s="87"/>
      <c r="D335" s="87"/>
      <c r="E335" s="87"/>
    </row>
    <row r="336">
      <c r="B336" s="87"/>
      <c r="C336" s="87"/>
      <c r="D336" s="87"/>
      <c r="E336" s="87"/>
    </row>
    <row r="337">
      <c r="B337" s="87"/>
      <c r="C337" s="87"/>
      <c r="D337" s="87"/>
      <c r="E337" s="87"/>
    </row>
    <row r="338">
      <c r="B338" s="87"/>
      <c r="C338" s="87"/>
      <c r="D338" s="87"/>
      <c r="E338" s="87"/>
    </row>
    <row r="339">
      <c r="B339" s="87"/>
      <c r="C339" s="87"/>
      <c r="D339" s="87"/>
      <c r="E339" s="87"/>
    </row>
    <row r="340">
      <c r="B340" s="87"/>
      <c r="C340" s="87"/>
      <c r="D340" s="87"/>
      <c r="E340" s="87"/>
    </row>
    <row r="341">
      <c r="B341" s="87"/>
      <c r="C341" s="87"/>
      <c r="D341" s="87"/>
      <c r="E341" s="87"/>
    </row>
    <row r="342">
      <c r="B342" s="87"/>
      <c r="C342" s="87"/>
      <c r="D342" s="87"/>
      <c r="E342" s="87"/>
    </row>
    <row r="343">
      <c r="B343" s="87"/>
      <c r="C343" s="87"/>
      <c r="D343" s="87"/>
      <c r="E343" s="87"/>
    </row>
    <row r="344">
      <c r="B344" s="87"/>
      <c r="C344" s="87"/>
      <c r="D344" s="87"/>
      <c r="E344" s="87"/>
    </row>
    <row r="345">
      <c r="B345" s="87"/>
      <c r="C345" s="87"/>
      <c r="D345" s="87"/>
      <c r="E345" s="87"/>
    </row>
    <row r="346">
      <c r="B346" s="87"/>
      <c r="C346" s="87"/>
      <c r="D346" s="87"/>
      <c r="E346" s="87"/>
    </row>
    <row r="347">
      <c r="B347" s="87"/>
      <c r="C347" s="87"/>
      <c r="D347" s="87"/>
      <c r="E347" s="87"/>
    </row>
    <row r="348">
      <c r="B348" s="87"/>
      <c r="C348" s="87"/>
      <c r="D348" s="87"/>
      <c r="E348" s="87"/>
    </row>
    <row r="349">
      <c r="B349" s="87"/>
      <c r="C349" s="87"/>
      <c r="D349" s="87"/>
      <c r="E349" s="87"/>
    </row>
    <row r="350">
      <c r="B350" s="87"/>
      <c r="C350" s="87"/>
      <c r="D350" s="87"/>
      <c r="E350" s="87"/>
    </row>
    <row r="351">
      <c r="B351" s="87"/>
      <c r="C351" s="87"/>
      <c r="D351" s="87"/>
      <c r="E351" s="87"/>
    </row>
    <row r="352">
      <c r="B352" s="87"/>
      <c r="C352" s="87"/>
      <c r="D352" s="87"/>
      <c r="E352" s="87"/>
    </row>
    <row r="353">
      <c r="B353" s="87"/>
      <c r="C353" s="87"/>
      <c r="D353" s="87"/>
      <c r="E353" s="87"/>
    </row>
    <row r="354">
      <c r="B354" s="87"/>
      <c r="C354" s="87"/>
      <c r="D354" s="87"/>
      <c r="E354" s="87"/>
    </row>
    <row r="355">
      <c r="B355" s="87"/>
      <c r="C355" s="87"/>
      <c r="D355" s="87"/>
      <c r="E355" s="87"/>
    </row>
    <row r="356">
      <c r="B356" s="87"/>
      <c r="C356" s="87"/>
      <c r="D356" s="87"/>
      <c r="E356" s="87"/>
    </row>
    <row r="357">
      <c r="B357" s="87"/>
      <c r="C357" s="87"/>
      <c r="D357" s="87"/>
      <c r="E357" s="87"/>
    </row>
    <row r="358">
      <c r="B358" s="87"/>
      <c r="C358" s="87"/>
      <c r="D358" s="87"/>
      <c r="E358" s="87"/>
    </row>
    <row r="359">
      <c r="B359" s="87"/>
      <c r="C359" s="87"/>
      <c r="D359" s="87"/>
      <c r="E359" s="87"/>
    </row>
    <row r="360">
      <c r="B360" s="87"/>
      <c r="C360" s="87"/>
      <c r="D360" s="87"/>
      <c r="E360" s="87"/>
    </row>
    <row r="361">
      <c r="B361" s="87"/>
      <c r="C361" s="87"/>
      <c r="D361" s="87"/>
      <c r="E361" s="87"/>
    </row>
    <row r="362">
      <c r="B362" s="87"/>
      <c r="C362" s="87"/>
      <c r="D362" s="87"/>
      <c r="E362" s="87"/>
    </row>
    <row r="363">
      <c r="B363" s="87"/>
      <c r="C363" s="87"/>
      <c r="D363" s="87"/>
      <c r="E363" s="87"/>
    </row>
    <row r="364">
      <c r="B364" s="87"/>
      <c r="C364" s="87"/>
      <c r="D364" s="87"/>
      <c r="E364" s="87"/>
    </row>
    <row r="365">
      <c r="B365" s="87"/>
      <c r="C365" s="87"/>
      <c r="D365" s="87"/>
      <c r="E365" s="87"/>
    </row>
    <row r="366">
      <c r="B366" s="87"/>
      <c r="C366" s="87"/>
      <c r="D366" s="87"/>
      <c r="E366" s="87"/>
    </row>
    <row r="367">
      <c r="B367" s="87"/>
      <c r="C367" s="87"/>
      <c r="D367" s="87"/>
      <c r="E367" s="87"/>
    </row>
    <row r="368">
      <c r="B368" s="87"/>
      <c r="C368" s="87"/>
      <c r="D368" s="87"/>
      <c r="E368" s="87"/>
    </row>
    <row r="369">
      <c r="B369" s="87"/>
      <c r="C369" s="87"/>
      <c r="D369" s="87"/>
      <c r="E369" s="87"/>
    </row>
    <row r="370">
      <c r="B370" s="87"/>
      <c r="C370" s="87"/>
      <c r="D370" s="87"/>
      <c r="E370" s="87"/>
    </row>
    <row r="371">
      <c r="B371" s="87"/>
      <c r="C371" s="87"/>
      <c r="D371" s="87"/>
      <c r="E371" s="87"/>
    </row>
    <row r="372">
      <c r="B372" s="87"/>
      <c r="C372" s="87"/>
      <c r="D372" s="87"/>
      <c r="E372" s="87"/>
    </row>
    <row r="373">
      <c r="B373" s="87"/>
      <c r="C373" s="87"/>
      <c r="D373" s="87"/>
      <c r="E373" s="87"/>
    </row>
    <row r="374">
      <c r="B374" s="87"/>
      <c r="C374" s="87"/>
      <c r="D374" s="87"/>
      <c r="E374" s="87"/>
    </row>
    <row r="375">
      <c r="B375" s="87"/>
      <c r="C375" s="87"/>
      <c r="D375" s="87"/>
      <c r="E375" s="87"/>
    </row>
    <row r="376">
      <c r="B376" s="87"/>
      <c r="C376" s="87"/>
      <c r="D376" s="87"/>
      <c r="E376" s="87"/>
    </row>
    <row r="377">
      <c r="B377" s="87"/>
      <c r="C377" s="87"/>
      <c r="D377" s="87"/>
      <c r="E377" s="87"/>
    </row>
    <row r="378">
      <c r="B378" s="87"/>
      <c r="C378" s="87"/>
      <c r="D378" s="87"/>
      <c r="E378" s="87"/>
    </row>
    <row r="379">
      <c r="B379" s="87"/>
      <c r="C379" s="87"/>
      <c r="D379" s="87"/>
      <c r="E379" s="87"/>
    </row>
    <row r="380">
      <c r="B380" s="87"/>
      <c r="C380" s="87"/>
      <c r="D380" s="87"/>
      <c r="E380" s="87"/>
    </row>
    <row r="381">
      <c r="B381" s="87"/>
      <c r="C381" s="87"/>
      <c r="D381" s="87"/>
      <c r="E381" s="87"/>
    </row>
    <row r="382">
      <c r="B382" s="87"/>
      <c r="C382" s="87"/>
      <c r="D382" s="87"/>
      <c r="E382" s="87"/>
    </row>
    <row r="383">
      <c r="B383" s="87"/>
      <c r="C383" s="87"/>
      <c r="D383" s="87"/>
      <c r="E383" s="87"/>
    </row>
    <row r="384">
      <c r="B384" s="87"/>
      <c r="C384" s="87"/>
      <c r="D384" s="87"/>
      <c r="E384" s="87"/>
    </row>
    <row r="385">
      <c r="B385" s="87"/>
      <c r="C385" s="87"/>
      <c r="D385" s="87"/>
      <c r="E385" s="87"/>
    </row>
    <row r="386">
      <c r="B386" s="87"/>
      <c r="C386" s="87"/>
      <c r="D386" s="87"/>
      <c r="E386" s="87"/>
    </row>
    <row r="387">
      <c r="B387" s="87"/>
      <c r="C387" s="87"/>
      <c r="D387" s="87"/>
      <c r="E387" s="87"/>
    </row>
    <row r="388">
      <c r="B388" s="87"/>
      <c r="C388" s="87"/>
      <c r="D388" s="87"/>
      <c r="E388" s="87"/>
    </row>
    <row r="389">
      <c r="B389" s="87"/>
      <c r="C389" s="87"/>
      <c r="D389" s="87"/>
      <c r="E389" s="87"/>
    </row>
    <row r="390">
      <c r="B390" s="87"/>
      <c r="C390" s="87"/>
      <c r="D390" s="87"/>
      <c r="E390" s="87"/>
    </row>
    <row r="391">
      <c r="B391" s="87"/>
      <c r="C391" s="87"/>
      <c r="D391" s="87"/>
      <c r="E391" s="87"/>
    </row>
    <row r="392">
      <c r="B392" s="87"/>
      <c r="C392" s="87"/>
      <c r="D392" s="87"/>
      <c r="E392" s="87"/>
    </row>
    <row r="393">
      <c r="B393" s="87"/>
      <c r="C393" s="87"/>
      <c r="D393" s="87"/>
      <c r="E393" s="87"/>
    </row>
    <row r="394">
      <c r="B394" s="87"/>
      <c r="C394" s="87"/>
      <c r="D394" s="87"/>
      <c r="E394" s="87"/>
    </row>
    <row r="395">
      <c r="B395" s="87"/>
      <c r="C395" s="87"/>
      <c r="D395" s="87"/>
      <c r="E395" s="87"/>
    </row>
    <row r="396">
      <c r="B396" s="87"/>
      <c r="C396" s="87"/>
      <c r="D396" s="87"/>
      <c r="E396" s="87"/>
    </row>
    <row r="397">
      <c r="B397" s="87"/>
      <c r="C397" s="87"/>
      <c r="D397" s="87"/>
      <c r="E397" s="87"/>
    </row>
    <row r="398">
      <c r="B398" s="87"/>
      <c r="C398" s="87"/>
      <c r="D398" s="87"/>
      <c r="E398" s="87"/>
    </row>
    <row r="399">
      <c r="B399" s="87"/>
      <c r="C399" s="87"/>
      <c r="D399" s="87"/>
      <c r="E399" s="87"/>
    </row>
    <row r="400">
      <c r="B400" s="87"/>
      <c r="C400" s="87"/>
      <c r="D400" s="87"/>
      <c r="E400" s="87"/>
    </row>
    <row r="401">
      <c r="B401" s="87"/>
      <c r="C401" s="87"/>
      <c r="D401" s="87"/>
      <c r="E401" s="87"/>
    </row>
    <row r="402">
      <c r="B402" s="87"/>
      <c r="C402" s="87"/>
      <c r="D402" s="87"/>
      <c r="E402" s="87"/>
    </row>
    <row r="403">
      <c r="B403" s="87"/>
      <c r="C403" s="87"/>
      <c r="D403" s="87"/>
      <c r="E403" s="87"/>
    </row>
    <row r="404">
      <c r="B404" s="87"/>
      <c r="C404" s="87"/>
      <c r="D404" s="87"/>
      <c r="E404" s="87"/>
    </row>
    <row r="405">
      <c r="B405" s="87"/>
      <c r="C405" s="87"/>
      <c r="D405" s="87"/>
      <c r="E405" s="87"/>
    </row>
    <row r="406">
      <c r="B406" s="87"/>
      <c r="C406" s="87"/>
      <c r="D406" s="87"/>
      <c r="E406" s="87"/>
    </row>
    <row r="407">
      <c r="B407" s="87"/>
      <c r="C407" s="87"/>
      <c r="D407" s="87"/>
      <c r="E407" s="87"/>
    </row>
    <row r="408">
      <c r="B408" s="87"/>
      <c r="C408" s="87"/>
      <c r="D408" s="87"/>
      <c r="E408" s="87"/>
    </row>
    <row r="409">
      <c r="B409" s="87"/>
      <c r="C409" s="87"/>
      <c r="D409" s="87"/>
      <c r="E409" s="87"/>
    </row>
    <row r="410">
      <c r="B410" s="87"/>
      <c r="C410" s="87"/>
      <c r="D410" s="87"/>
      <c r="E410" s="87"/>
    </row>
    <row r="411">
      <c r="B411" s="87"/>
      <c r="C411" s="87"/>
      <c r="D411" s="87"/>
      <c r="E411" s="87"/>
    </row>
    <row r="412">
      <c r="B412" s="87"/>
      <c r="C412" s="87"/>
      <c r="D412" s="87"/>
      <c r="E412" s="87"/>
    </row>
    <row r="413">
      <c r="B413" s="87"/>
      <c r="C413" s="87"/>
      <c r="D413" s="87"/>
      <c r="E413" s="87"/>
    </row>
    <row r="414">
      <c r="B414" s="87"/>
      <c r="C414" s="87"/>
      <c r="D414" s="87"/>
      <c r="E414" s="87"/>
    </row>
    <row r="415">
      <c r="B415" s="87"/>
      <c r="C415" s="87"/>
      <c r="D415" s="87"/>
      <c r="E415" s="87"/>
    </row>
    <row r="416">
      <c r="B416" s="87"/>
      <c r="C416" s="87"/>
      <c r="D416" s="87"/>
      <c r="E416" s="87"/>
    </row>
    <row r="417">
      <c r="B417" s="87"/>
      <c r="C417" s="87"/>
      <c r="D417" s="87"/>
      <c r="E417" s="87"/>
    </row>
    <row r="418">
      <c r="B418" s="87"/>
      <c r="C418" s="87"/>
      <c r="D418" s="87"/>
      <c r="E418" s="87"/>
    </row>
    <row r="419">
      <c r="B419" s="87"/>
      <c r="C419" s="87"/>
      <c r="D419" s="87"/>
      <c r="E419" s="87"/>
    </row>
    <row r="420">
      <c r="B420" s="87"/>
      <c r="C420" s="87"/>
      <c r="D420" s="87"/>
      <c r="E420" s="87"/>
    </row>
    <row r="421">
      <c r="B421" s="87"/>
      <c r="C421" s="87"/>
      <c r="D421" s="87"/>
      <c r="E421" s="87"/>
    </row>
    <row r="422">
      <c r="B422" s="87"/>
      <c r="C422" s="87"/>
      <c r="D422" s="87"/>
      <c r="E422" s="87"/>
    </row>
    <row r="423">
      <c r="B423" s="87"/>
      <c r="C423" s="87"/>
      <c r="D423" s="87"/>
      <c r="E423" s="87"/>
    </row>
    <row r="424">
      <c r="B424" s="87"/>
      <c r="C424" s="87"/>
      <c r="D424" s="87"/>
      <c r="E424" s="87"/>
    </row>
    <row r="425">
      <c r="B425" s="87"/>
      <c r="C425" s="87"/>
      <c r="D425" s="87"/>
      <c r="E425" s="87"/>
    </row>
    <row r="426">
      <c r="B426" s="87"/>
      <c r="C426" s="87"/>
      <c r="D426" s="87"/>
      <c r="E426" s="87"/>
    </row>
    <row r="427">
      <c r="B427" s="87"/>
      <c r="C427" s="87"/>
      <c r="D427" s="87"/>
      <c r="E427" s="87"/>
    </row>
    <row r="428">
      <c r="B428" s="87"/>
      <c r="C428" s="87"/>
      <c r="D428" s="87"/>
      <c r="E428" s="87"/>
    </row>
    <row r="429">
      <c r="B429" s="87"/>
      <c r="C429" s="87"/>
      <c r="D429" s="87"/>
      <c r="E429" s="87"/>
    </row>
    <row r="430">
      <c r="B430" s="87"/>
      <c r="C430" s="87"/>
      <c r="D430" s="87"/>
      <c r="E430" s="87"/>
    </row>
    <row r="431">
      <c r="B431" s="87"/>
      <c r="C431" s="87"/>
      <c r="D431" s="87"/>
      <c r="E431" s="87"/>
    </row>
    <row r="432">
      <c r="B432" s="87"/>
      <c r="C432" s="87"/>
      <c r="D432" s="87"/>
      <c r="E432" s="87"/>
    </row>
    <row r="433">
      <c r="B433" s="87"/>
      <c r="C433" s="87"/>
      <c r="D433" s="87"/>
      <c r="E433" s="87"/>
    </row>
    <row r="434">
      <c r="B434" s="87"/>
      <c r="C434" s="87"/>
      <c r="D434" s="87"/>
      <c r="E434" s="87"/>
    </row>
    <row r="435">
      <c r="B435" s="87"/>
      <c r="C435" s="87"/>
      <c r="D435" s="87"/>
      <c r="E435" s="87"/>
    </row>
    <row r="436">
      <c r="B436" s="87"/>
      <c r="C436" s="87"/>
      <c r="D436" s="87"/>
      <c r="E436" s="87"/>
    </row>
    <row r="437">
      <c r="B437" s="87"/>
      <c r="C437" s="87"/>
      <c r="D437" s="87"/>
      <c r="E437" s="87"/>
    </row>
    <row r="438">
      <c r="B438" s="87"/>
      <c r="C438" s="87"/>
      <c r="D438" s="87"/>
      <c r="E438" s="87"/>
    </row>
    <row r="439">
      <c r="B439" s="87"/>
      <c r="C439" s="87"/>
      <c r="D439" s="87"/>
      <c r="E439" s="87"/>
    </row>
    <row r="440">
      <c r="B440" s="87"/>
      <c r="C440" s="87"/>
      <c r="D440" s="87"/>
      <c r="E440" s="87"/>
    </row>
    <row r="441">
      <c r="B441" s="87"/>
      <c r="C441" s="87"/>
      <c r="D441" s="87"/>
      <c r="E441" s="87"/>
    </row>
    <row r="442">
      <c r="B442" s="87"/>
      <c r="C442" s="87"/>
      <c r="D442" s="87"/>
      <c r="E442" s="87"/>
    </row>
    <row r="443">
      <c r="B443" s="87"/>
      <c r="C443" s="87"/>
      <c r="D443" s="87"/>
      <c r="E443" s="87"/>
    </row>
    <row r="444">
      <c r="B444" s="87"/>
      <c r="C444" s="87"/>
      <c r="D444" s="87"/>
      <c r="E444" s="87"/>
    </row>
    <row r="445">
      <c r="B445" s="87"/>
      <c r="C445" s="87"/>
      <c r="D445" s="87"/>
      <c r="E445" s="87"/>
    </row>
    <row r="446">
      <c r="B446" s="87"/>
      <c r="C446" s="87"/>
      <c r="D446" s="87"/>
      <c r="E446" s="87"/>
    </row>
    <row r="447">
      <c r="B447" s="87"/>
      <c r="C447" s="87"/>
      <c r="D447" s="87"/>
      <c r="E447" s="87"/>
    </row>
    <row r="448">
      <c r="B448" s="87"/>
      <c r="C448" s="87"/>
      <c r="D448" s="87"/>
      <c r="E448" s="87"/>
    </row>
    <row r="449">
      <c r="B449" s="87"/>
      <c r="C449" s="87"/>
      <c r="D449" s="87"/>
      <c r="E449" s="87"/>
    </row>
    <row r="450">
      <c r="B450" s="87"/>
      <c r="C450" s="87"/>
      <c r="D450" s="87"/>
      <c r="E450" s="87"/>
    </row>
    <row r="451">
      <c r="B451" s="87"/>
      <c r="C451" s="87"/>
      <c r="D451" s="87"/>
      <c r="E451" s="87"/>
    </row>
    <row r="452">
      <c r="B452" s="87"/>
      <c r="C452" s="87"/>
      <c r="D452" s="87"/>
      <c r="E452" s="87"/>
    </row>
    <row r="453">
      <c r="B453" s="87"/>
      <c r="C453" s="87"/>
      <c r="D453" s="87"/>
      <c r="E453" s="87"/>
    </row>
    <row r="454">
      <c r="B454" s="87"/>
      <c r="C454" s="87"/>
      <c r="D454" s="87"/>
      <c r="E454" s="87"/>
    </row>
    <row r="455">
      <c r="B455" s="87"/>
      <c r="C455" s="87"/>
      <c r="D455" s="87"/>
      <c r="E455" s="87"/>
    </row>
    <row r="456">
      <c r="B456" s="87"/>
      <c r="C456" s="87"/>
      <c r="D456" s="87"/>
      <c r="E456" s="87"/>
    </row>
    <row r="457">
      <c r="B457" s="87"/>
      <c r="C457" s="87"/>
      <c r="D457" s="87"/>
      <c r="E457" s="87"/>
    </row>
    <row r="458">
      <c r="B458" s="87"/>
      <c r="C458" s="87"/>
      <c r="D458" s="87"/>
      <c r="E458" s="87"/>
    </row>
    <row r="459">
      <c r="B459" s="87"/>
      <c r="C459" s="87"/>
      <c r="D459" s="87"/>
      <c r="E459" s="87"/>
    </row>
    <row r="460">
      <c r="B460" s="87"/>
      <c r="C460" s="87"/>
      <c r="D460" s="87"/>
      <c r="E460" s="87"/>
    </row>
    <row r="461">
      <c r="B461" s="87"/>
      <c r="C461" s="87"/>
      <c r="D461" s="87"/>
      <c r="E461" s="87"/>
    </row>
    <row r="462">
      <c r="B462" s="87"/>
      <c r="C462" s="87"/>
      <c r="D462" s="87"/>
      <c r="E462" s="87"/>
    </row>
    <row r="463">
      <c r="B463" s="87"/>
      <c r="C463" s="87"/>
      <c r="D463" s="87"/>
      <c r="E463" s="87"/>
    </row>
    <row r="464">
      <c r="B464" s="87"/>
      <c r="C464" s="87"/>
      <c r="D464" s="87"/>
      <c r="E464" s="87"/>
    </row>
    <row r="465">
      <c r="B465" s="87"/>
      <c r="C465" s="87"/>
      <c r="D465" s="87"/>
      <c r="E465" s="87"/>
    </row>
    <row r="466">
      <c r="B466" s="87"/>
      <c r="C466" s="87"/>
      <c r="D466" s="87"/>
      <c r="E466" s="87"/>
    </row>
    <row r="467">
      <c r="B467" s="87"/>
      <c r="C467" s="87"/>
      <c r="D467" s="87"/>
      <c r="E467" s="87"/>
    </row>
    <row r="468">
      <c r="B468" s="87"/>
      <c r="C468" s="87"/>
      <c r="D468" s="87"/>
      <c r="E468" s="87"/>
    </row>
    <row r="469">
      <c r="B469" s="87"/>
      <c r="C469" s="87"/>
      <c r="D469" s="87"/>
      <c r="E469" s="87"/>
    </row>
    <row r="470">
      <c r="B470" s="87"/>
      <c r="C470" s="87"/>
      <c r="D470" s="87"/>
      <c r="E470" s="87"/>
    </row>
    <row r="471">
      <c r="B471" s="87"/>
      <c r="C471" s="87"/>
      <c r="D471" s="87"/>
      <c r="E471" s="87"/>
    </row>
    <row r="472">
      <c r="B472" s="87"/>
      <c r="C472" s="87"/>
      <c r="D472" s="87"/>
      <c r="E472" s="87"/>
    </row>
    <row r="473">
      <c r="B473" s="87"/>
      <c r="C473" s="87"/>
      <c r="D473" s="87"/>
      <c r="E473" s="87"/>
    </row>
    <row r="474">
      <c r="B474" s="87"/>
      <c r="C474" s="87"/>
      <c r="D474" s="87"/>
      <c r="E474" s="87"/>
    </row>
    <row r="475">
      <c r="B475" s="87"/>
      <c r="C475" s="87"/>
      <c r="D475" s="87"/>
      <c r="E475" s="87"/>
    </row>
    <row r="476">
      <c r="B476" s="87"/>
      <c r="C476" s="87"/>
      <c r="D476" s="87"/>
      <c r="E476" s="87"/>
    </row>
    <row r="477">
      <c r="B477" s="87"/>
      <c r="C477" s="87"/>
      <c r="D477" s="87"/>
      <c r="E477" s="87"/>
    </row>
    <row r="478">
      <c r="B478" s="87"/>
      <c r="C478" s="87"/>
      <c r="D478" s="87"/>
      <c r="E478" s="87"/>
    </row>
    <row r="479">
      <c r="B479" s="87"/>
      <c r="C479" s="87"/>
      <c r="D479" s="87"/>
      <c r="E479" s="87"/>
    </row>
    <row r="480">
      <c r="B480" s="87"/>
      <c r="C480" s="87"/>
      <c r="D480" s="87"/>
      <c r="E480" s="87"/>
    </row>
    <row r="481">
      <c r="B481" s="87"/>
      <c r="C481" s="87"/>
      <c r="D481" s="87"/>
      <c r="E481" s="87"/>
    </row>
    <row r="482">
      <c r="B482" s="87"/>
      <c r="C482" s="87"/>
      <c r="D482" s="87"/>
      <c r="E482" s="87"/>
    </row>
    <row r="483">
      <c r="B483" s="87"/>
      <c r="C483" s="87"/>
      <c r="D483" s="87"/>
      <c r="E483" s="87"/>
    </row>
    <row r="484">
      <c r="B484" s="87"/>
      <c r="C484" s="87"/>
      <c r="D484" s="87"/>
      <c r="E484" s="87"/>
    </row>
    <row r="485">
      <c r="B485" s="87"/>
      <c r="C485" s="87"/>
      <c r="D485" s="87"/>
      <c r="E485" s="87"/>
    </row>
    <row r="486">
      <c r="B486" s="87"/>
      <c r="C486" s="87"/>
      <c r="D486" s="87"/>
      <c r="E486" s="87"/>
    </row>
    <row r="487">
      <c r="B487" s="87"/>
      <c r="C487" s="87"/>
      <c r="D487" s="87"/>
      <c r="E487" s="87"/>
    </row>
    <row r="488">
      <c r="B488" s="87"/>
      <c r="C488" s="87"/>
      <c r="D488" s="87"/>
      <c r="E488" s="87"/>
    </row>
    <row r="489">
      <c r="B489" s="87"/>
      <c r="C489" s="87"/>
      <c r="D489" s="87"/>
      <c r="E489" s="87"/>
    </row>
    <row r="490">
      <c r="B490" s="87"/>
      <c r="C490" s="87"/>
      <c r="D490" s="87"/>
      <c r="E490" s="87"/>
    </row>
    <row r="491">
      <c r="B491" s="87"/>
      <c r="C491" s="87"/>
      <c r="D491" s="87"/>
      <c r="E491" s="87"/>
    </row>
    <row r="492">
      <c r="B492" s="87"/>
      <c r="C492" s="87"/>
      <c r="D492" s="87"/>
      <c r="E492" s="87"/>
    </row>
    <row r="493">
      <c r="B493" s="87"/>
      <c r="C493" s="87"/>
      <c r="D493" s="87"/>
      <c r="E493" s="87"/>
    </row>
    <row r="494">
      <c r="B494" s="87"/>
      <c r="C494" s="87"/>
      <c r="D494" s="87"/>
      <c r="E494" s="87"/>
    </row>
    <row r="495">
      <c r="B495" s="87"/>
      <c r="C495" s="87"/>
      <c r="D495" s="87"/>
      <c r="E495" s="87"/>
    </row>
    <row r="496">
      <c r="B496" s="87"/>
      <c r="C496" s="87"/>
      <c r="D496" s="87"/>
      <c r="E496" s="87"/>
    </row>
    <row r="497">
      <c r="B497" s="87"/>
      <c r="C497" s="87"/>
      <c r="D497" s="87"/>
      <c r="E497" s="87"/>
    </row>
    <row r="498">
      <c r="B498" s="87"/>
      <c r="C498" s="87"/>
      <c r="D498" s="87"/>
      <c r="E498" s="87"/>
    </row>
    <row r="499">
      <c r="B499" s="87"/>
      <c r="C499" s="87"/>
      <c r="D499" s="87"/>
      <c r="E499" s="87"/>
    </row>
    <row r="500">
      <c r="B500" s="87"/>
      <c r="C500" s="87"/>
      <c r="D500" s="87"/>
      <c r="E500" s="87"/>
    </row>
    <row r="501">
      <c r="B501" s="87"/>
      <c r="C501" s="87"/>
      <c r="D501" s="87"/>
      <c r="E501" s="87"/>
    </row>
    <row r="502">
      <c r="B502" s="87"/>
      <c r="C502" s="87"/>
      <c r="D502" s="87"/>
      <c r="E502" s="87"/>
    </row>
    <row r="503">
      <c r="B503" s="87"/>
      <c r="C503" s="87"/>
      <c r="D503" s="87"/>
      <c r="E503" s="87"/>
    </row>
    <row r="504">
      <c r="B504" s="87"/>
      <c r="C504" s="87"/>
      <c r="D504" s="87"/>
      <c r="E504" s="87"/>
    </row>
    <row r="505">
      <c r="B505" s="87"/>
      <c r="C505" s="87"/>
      <c r="D505" s="87"/>
      <c r="E505" s="87"/>
    </row>
    <row r="506">
      <c r="B506" s="87"/>
      <c r="C506" s="87"/>
      <c r="D506" s="87"/>
      <c r="E506" s="87"/>
    </row>
    <row r="507">
      <c r="B507" s="87"/>
      <c r="C507" s="87"/>
      <c r="D507" s="87"/>
      <c r="E507" s="87"/>
    </row>
    <row r="508">
      <c r="B508" s="87"/>
      <c r="C508" s="87"/>
      <c r="D508" s="87"/>
      <c r="E508" s="87"/>
    </row>
    <row r="509">
      <c r="B509" s="87"/>
      <c r="C509" s="87"/>
      <c r="D509" s="87"/>
      <c r="E509" s="87"/>
    </row>
    <row r="510">
      <c r="B510" s="87"/>
      <c r="C510" s="87"/>
      <c r="D510" s="87"/>
      <c r="E510" s="87"/>
    </row>
    <row r="511">
      <c r="B511" s="87"/>
      <c r="C511" s="87"/>
      <c r="D511" s="87"/>
      <c r="E511" s="87"/>
    </row>
    <row r="512">
      <c r="B512" s="87"/>
      <c r="C512" s="87"/>
      <c r="D512" s="87"/>
      <c r="E512" s="87"/>
    </row>
    <row r="513">
      <c r="B513" s="87"/>
      <c r="C513" s="87"/>
      <c r="D513" s="87"/>
      <c r="E513" s="87"/>
    </row>
    <row r="514">
      <c r="B514" s="87"/>
      <c r="C514" s="87"/>
      <c r="D514" s="87"/>
      <c r="E514" s="87"/>
    </row>
    <row r="515">
      <c r="B515" s="87"/>
      <c r="C515" s="87"/>
      <c r="D515" s="87"/>
      <c r="E515" s="87"/>
    </row>
    <row r="516">
      <c r="B516" s="87"/>
      <c r="C516" s="87"/>
      <c r="D516" s="87"/>
      <c r="E516" s="87"/>
    </row>
    <row r="517">
      <c r="B517" s="87"/>
      <c r="C517" s="87"/>
      <c r="D517" s="87"/>
      <c r="E517" s="87"/>
    </row>
    <row r="518">
      <c r="B518" s="87"/>
      <c r="C518" s="87"/>
      <c r="D518" s="87"/>
      <c r="E518" s="87"/>
    </row>
    <row r="519">
      <c r="B519" s="87"/>
      <c r="C519" s="87"/>
      <c r="D519" s="87"/>
      <c r="E519" s="87"/>
    </row>
    <row r="520">
      <c r="B520" s="87"/>
      <c r="C520" s="87"/>
      <c r="D520" s="87"/>
      <c r="E520" s="87"/>
    </row>
    <row r="521">
      <c r="B521" s="87"/>
      <c r="C521" s="87"/>
      <c r="D521" s="87"/>
      <c r="E521" s="87"/>
    </row>
    <row r="522">
      <c r="B522" s="87"/>
      <c r="C522" s="87"/>
      <c r="D522" s="87"/>
      <c r="E522" s="87"/>
    </row>
    <row r="523">
      <c r="B523" s="87"/>
      <c r="C523" s="87"/>
      <c r="D523" s="87"/>
      <c r="E523" s="87"/>
    </row>
    <row r="524">
      <c r="B524" s="87"/>
      <c r="C524" s="87"/>
      <c r="D524" s="87"/>
      <c r="E524" s="87"/>
    </row>
    <row r="525">
      <c r="B525" s="87"/>
      <c r="C525" s="87"/>
      <c r="D525" s="87"/>
      <c r="E525" s="87"/>
    </row>
    <row r="526">
      <c r="B526" s="87"/>
      <c r="C526" s="87"/>
      <c r="D526" s="87"/>
      <c r="E526" s="87"/>
    </row>
    <row r="527">
      <c r="B527" s="87"/>
      <c r="C527" s="87"/>
      <c r="D527" s="87"/>
      <c r="E527" s="87"/>
    </row>
    <row r="528">
      <c r="B528" s="87"/>
      <c r="C528" s="87"/>
      <c r="D528" s="87"/>
      <c r="E528" s="87"/>
    </row>
    <row r="529">
      <c r="B529" s="87"/>
      <c r="C529" s="87"/>
      <c r="D529" s="87"/>
      <c r="E529" s="87"/>
    </row>
    <row r="530">
      <c r="B530" s="87"/>
      <c r="C530" s="87"/>
      <c r="D530" s="87"/>
      <c r="E530" s="87"/>
    </row>
    <row r="531">
      <c r="B531" s="87"/>
      <c r="C531" s="87"/>
      <c r="D531" s="87"/>
      <c r="E531" s="87"/>
    </row>
    <row r="532">
      <c r="B532" s="87"/>
      <c r="C532" s="87"/>
      <c r="D532" s="87"/>
      <c r="E532" s="87"/>
    </row>
    <row r="533">
      <c r="B533" s="87"/>
      <c r="C533" s="87"/>
      <c r="D533" s="87"/>
      <c r="E533" s="87"/>
    </row>
    <row r="534">
      <c r="B534" s="87"/>
      <c r="C534" s="87"/>
      <c r="D534" s="87"/>
      <c r="E534" s="87"/>
    </row>
    <row r="535">
      <c r="B535" s="87"/>
      <c r="C535" s="87"/>
      <c r="D535" s="87"/>
      <c r="E535" s="87"/>
    </row>
    <row r="536">
      <c r="B536" s="87"/>
      <c r="C536" s="87"/>
      <c r="D536" s="87"/>
      <c r="E536" s="87"/>
    </row>
    <row r="537">
      <c r="B537" s="87"/>
      <c r="C537" s="87"/>
      <c r="D537" s="87"/>
      <c r="E537" s="87"/>
    </row>
    <row r="538">
      <c r="B538" s="87"/>
      <c r="C538" s="87"/>
      <c r="D538" s="87"/>
      <c r="E538" s="87"/>
    </row>
    <row r="539">
      <c r="B539" s="87"/>
      <c r="C539" s="87"/>
      <c r="D539" s="87"/>
      <c r="E539" s="87"/>
    </row>
    <row r="540">
      <c r="B540" s="87"/>
      <c r="C540" s="87"/>
      <c r="D540" s="87"/>
      <c r="E540" s="87"/>
    </row>
    <row r="541">
      <c r="B541" s="87"/>
      <c r="C541" s="87"/>
      <c r="D541" s="87"/>
      <c r="E541" s="87"/>
    </row>
    <row r="542">
      <c r="B542" s="87"/>
      <c r="C542" s="87"/>
      <c r="D542" s="87"/>
      <c r="E542" s="87"/>
    </row>
    <row r="543">
      <c r="B543" s="87"/>
      <c r="C543" s="87"/>
      <c r="D543" s="87"/>
      <c r="E543" s="87"/>
    </row>
    <row r="544">
      <c r="B544" s="87"/>
      <c r="C544" s="87"/>
      <c r="D544" s="87"/>
      <c r="E544" s="87"/>
    </row>
    <row r="545">
      <c r="B545" s="87"/>
      <c r="C545" s="87"/>
      <c r="D545" s="87"/>
      <c r="E545" s="87"/>
    </row>
    <row r="546">
      <c r="B546" s="87"/>
      <c r="C546" s="87"/>
      <c r="D546" s="87"/>
      <c r="E546" s="87"/>
    </row>
    <row r="547">
      <c r="B547" s="87"/>
      <c r="C547" s="87"/>
      <c r="D547" s="87"/>
      <c r="E547" s="87"/>
    </row>
    <row r="548">
      <c r="B548" s="87"/>
      <c r="C548" s="87"/>
      <c r="D548" s="87"/>
      <c r="E548" s="87"/>
    </row>
    <row r="549">
      <c r="B549" s="87"/>
      <c r="C549" s="87"/>
      <c r="D549" s="87"/>
      <c r="E549" s="87"/>
    </row>
    <row r="550">
      <c r="B550" s="87"/>
      <c r="C550" s="87"/>
      <c r="D550" s="87"/>
      <c r="E550" s="87"/>
    </row>
    <row r="551">
      <c r="B551" s="87"/>
      <c r="C551" s="87"/>
      <c r="D551" s="87"/>
      <c r="E551" s="87"/>
    </row>
    <row r="552">
      <c r="B552" s="87"/>
      <c r="C552" s="87"/>
      <c r="D552" s="87"/>
      <c r="E552" s="87"/>
    </row>
    <row r="553">
      <c r="B553" s="87"/>
      <c r="C553" s="87"/>
      <c r="D553" s="87"/>
      <c r="E553" s="87"/>
    </row>
    <row r="554">
      <c r="B554" s="87"/>
      <c r="C554" s="87"/>
      <c r="D554" s="87"/>
      <c r="E554" s="87"/>
    </row>
    <row r="555">
      <c r="B555" s="87"/>
      <c r="C555" s="87"/>
      <c r="D555" s="87"/>
      <c r="E555" s="87"/>
    </row>
    <row r="556">
      <c r="B556" s="87"/>
      <c r="C556" s="87"/>
      <c r="D556" s="87"/>
      <c r="E556" s="87"/>
    </row>
    <row r="557">
      <c r="B557" s="87"/>
      <c r="C557" s="87"/>
      <c r="D557" s="87"/>
      <c r="E557" s="87"/>
    </row>
    <row r="558">
      <c r="B558" s="87"/>
      <c r="C558" s="87"/>
      <c r="D558" s="87"/>
      <c r="E558" s="87"/>
    </row>
    <row r="559">
      <c r="B559" s="87"/>
      <c r="C559" s="87"/>
      <c r="D559" s="87"/>
      <c r="E559" s="87"/>
    </row>
    <row r="560">
      <c r="B560" s="87"/>
      <c r="C560" s="87"/>
      <c r="D560" s="87"/>
      <c r="E560" s="87"/>
    </row>
    <row r="561">
      <c r="B561" s="87"/>
      <c r="C561" s="87"/>
      <c r="D561" s="87"/>
      <c r="E561" s="87"/>
    </row>
    <row r="562">
      <c r="B562" s="87"/>
      <c r="C562" s="87"/>
      <c r="D562" s="87"/>
      <c r="E562" s="87"/>
    </row>
    <row r="563">
      <c r="B563" s="87"/>
      <c r="C563" s="87"/>
      <c r="D563" s="87"/>
      <c r="E563" s="87"/>
    </row>
    <row r="564">
      <c r="B564" s="87"/>
      <c r="C564" s="87"/>
      <c r="D564" s="87"/>
      <c r="E564" s="87"/>
    </row>
    <row r="565">
      <c r="B565" s="87"/>
      <c r="C565" s="87"/>
      <c r="D565" s="87"/>
      <c r="E565" s="87"/>
    </row>
    <row r="566">
      <c r="B566" s="87"/>
      <c r="C566" s="87"/>
      <c r="D566" s="87"/>
      <c r="E566" s="87"/>
    </row>
    <row r="567">
      <c r="B567" s="87"/>
      <c r="C567" s="87"/>
      <c r="D567" s="87"/>
      <c r="E567" s="87"/>
    </row>
    <row r="568">
      <c r="B568" s="87"/>
      <c r="C568" s="87"/>
      <c r="D568" s="87"/>
      <c r="E568" s="87"/>
    </row>
    <row r="569">
      <c r="B569" s="87"/>
      <c r="C569" s="87"/>
      <c r="D569" s="87"/>
      <c r="E569" s="87"/>
    </row>
    <row r="570">
      <c r="B570" s="87"/>
      <c r="C570" s="87"/>
      <c r="D570" s="87"/>
      <c r="E570" s="87"/>
    </row>
    <row r="571">
      <c r="B571" s="87"/>
      <c r="C571" s="87"/>
      <c r="D571" s="87"/>
      <c r="E571" s="87"/>
    </row>
    <row r="572">
      <c r="B572" s="87"/>
      <c r="C572" s="87"/>
      <c r="D572" s="87"/>
      <c r="E572" s="87"/>
    </row>
    <row r="573">
      <c r="B573" s="87"/>
      <c r="C573" s="87"/>
      <c r="D573" s="87"/>
      <c r="E573" s="87"/>
    </row>
    <row r="574">
      <c r="B574" s="87"/>
      <c r="C574" s="87"/>
      <c r="D574" s="87"/>
      <c r="E574" s="87"/>
    </row>
    <row r="575">
      <c r="B575" s="87"/>
      <c r="C575" s="87"/>
      <c r="D575" s="87"/>
      <c r="E575" s="87"/>
    </row>
    <row r="576">
      <c r="B576" s="87"/>
      <c r="C576" s="87"/>
      <c r="D576" s="87"/>
      <c r="E576" s="87"/>
    </row>
    <row r="577">
      <c r="B577" s="87"/>
      <c r="C577" s="87"/>
      <c r="D577" s="87"/>
      <c r="E577" s="87"/>
    </row>
    <row r="578">
      <c r="B578" s="87"/>
      <c r="C578" s="87"/>
      <c r="D578" s="87"/>
      <c r="E578" s="87"/>
    </row>
    <row r="579">
      <c r="B579" s="87"/>
      <c r="C579" s="87"/>
      <c r="D579" s="87"/>
      <c r="E579" s="87"/>
    </row>
    <row r="580">
      <c r="B580" s="87"/>
      <c r="C580" s="87"/>
      <c r="D580" s="87"/>
      <c r="E580" s="87"/>
    </row>
    <row r="581">
      <c r="B581" s="87"/>
      <c r="C581" s="87"/>
      <c r="D581" s="87"/>
      <c r="E581" s="87"/>
    </row>
    <row r="582">
      <c r="B582" s="87"/>
      <c r="C582" s="87"/>
      <c r="D582" s="87"/>
      <c r="E582" s="87"/>
    </row>
    <row r="583">
      <c r="B583" s="87"/>
      <c r="C583" s="87"/>
      <c r="D583" s="87"/>
      <c r="E583" s="87"/>
    </row>
    <row r="584">
      <c r="B584" s="87"/>
      <c r="C584" s="87"/>
      <c r="D584" s="87"/>
      <c r="E584" s="87"/>
    </row>
    <row r="585">
      <c r="B585" s="87"/>
      <c r="C585" s="87"/>
      <c r="D585" s="87"/>
      <c r="E585" s="87"/>
    </row>
    <row r="586">
      <c r="B586" s="87"/>
      <c r="C586" s="87"/>
      <c r="D586" s="87"/>
      <c r="E586" s="87"/>
    </row>
    <row r="587">
      <c r="B587" s="87"/>
      <c r="C587" s="87"/>
      <c r="D587" s="87"/>
      <c r="E587" s="87"/>
    </row>
    <row r="588">
      <c r="B588" s="87"/>
      <c r="C588" s="87"/>
      <c r="D588" s="87"/>
      <c r="E588" s="87"/>
    </row>
    <row r="589">
      <c r="B589" s="87"/>
      <c r="C589" s="87"/>
      <c r="D589" s="87"/>
      <c r="E589" s="87"/>
    </row>
    <row r="590">
      <c r="B590" s="87"/>
      <c r="C590" s="87"/>
      <c r="D590" s="87"/>
      <c r="E590" s="87"/>
    </row>
    <row r="591">
      <c r="B591" s="87"/>
      <c r="C591" s="87"/>
      <c r="D591" s="87"/>
      <c r="E591" s="87"/>
    </row>
    <row r="592">
      <c r="B592" s="87"/>
      <c r="C592" s="87"/>
      <c r="D592" s="87"/>
      <c r="E592" s="87"/>
    </row>
    <row r="593">
      <c r="B593" s="87"/>
      <c r="C593" s="87"/>
      <c r="D593" s="87"/>
      <c r="E593" s="87"/>
    </row>
    <row r="594">
      <c r="B594" s="87"/>
      <c r="C594" s="87"/>
      <c r="D594" s="87"/>
      <c r="E594" s="87"/>
    </row>
    <row r="595">
      <c r="B595" s="87"/>
      <c r="C595" s="87"/>
      <c r="D595" s="87"/>
      <c r="E595" s="87"/>
    </row>
    <row r="596">
      <c r="B596" s="87"/>
      <c r="C596" s="87"/>
      <c r="D596" s="87"/>
      <c r="E596" s="87"/>
    </row>
    <row r="597">
      <c r="B597" s="87"/>
      <c r="C597" s="87"/>
      <c r="D597" s="87"/>
      <c r="E597" s="87"/>
    </row>
    <row r="598">
      <c r="B598" s="87"/>
      <c r="C598" s="87"/>
      <c r="D598" s="87"/>
      <c r="E598" s="87"/>
    </row>
    <row r="599">
      <c r="B599" s="87"/>
      <c r="C599" s="87"/>
      <c r="D599" s="87"/>
      <c r="E599" s="87"/>
    </row>
    <row r="600">
      <c r="B600" s="87"/>
      <c r="C600" s="87"/>
      <c r="D600" s="87"/>
      <c r="E600" s="87"/>
    </row>
    <row r="601">
      <c r="B601" s="87"/>
      <c r="C601" s="87"/>
      <c r="D601" s="87"/>
      <c r="E601" s="87"/>
    </row>
    <row r="602">
      <c r="B602" s="87"/>
      <c r="C602" s="87"/>
      <c r="D602" s="87"/>
      <c r="E602" s="87"/>
    </row>
    <row r="603">
      <c r="B603" s="87"/>
      <c r="C603" s="87"/>
      <c r="D603" s="87"/>
      <c r="E603" s="87"/>
    </row>
    <row r="604">
      <c r="B604" s="87"/>
      <c r="C604" s="87"/>
      <c r="D604" s="87"/>
      <c r="E604" s="87"/>
    </row>
    <row r="605">
      <c r="B605" s="87"/>
      <c r="C605" s="87"/>
      <c r="D605" s="87"/>
      <c r="E605" s="87"/>
    </row>
    <row r="606">
      <c r="B606" s="87"/>
      <c r="C606" s="87"/>
      <c r="D606" s="87"/>
      <c r="E606" s="87"/>
    </row>
    <row r="607">
      <c r="B607" s="87"/>
      <c r="C607" s="87"/>
      <c r="D607" s="87"/>
      <c r="E607" s="87"/>
    </row>
    <row r="608">
      <c r="B608" s="87"/>
      <c r="C608" s="87"/>
      <c r="D608" s="87"/>
      <c r="E608" s="87"/>
    </row>
    <row r="609">
      <c r="B609" s="87"/>
      <c r="C609" s="87"/>
      <c r="D609" s="87"/>
      <c r="E609" s="87"/>
    </row>
    <row r="610">
      <c r="B610" s="87"/>
      <c r="C610" s="87"/>
      <c r="D610" s="87"/>
      <c r="E610" s="87"/>
    </row>
    <row r="611">
      <c r="B611" s="87"/>
      <c r="C611" s="87"/>
      <c r="D611" s="87"/>
      <c r="E611" s="87"/>
    </row>
    <row r="612">
      <c r="B612" s="87"/>
      <c r="C612" s="87"/>
      <c r="D612" s="87"/>
      <c r="E612" s="87"/>
    </row>
    <row r="613">
      <c r="B613" s="87"/>
      <c r="C613" s="87"/>
      <c r="D613" s="87"/>
      <c r="E613" s="87"/>
    </row>
    <row r="614">
      <c r="B614" s="87"/>
      <c r="C614" s="87"/>
      <c r="D614" s="87"/>
      <c r="E614" s="87"/>
    </row>
    <row r="615">
      <c r="B615" s="87"/>
      <c r="C615" s="87"/>
      <c r="D615" s="87"/>
      <c r="E615" s="87"/>
    </row>
    <row r="616">
      <c r="B616" s="87"/>
      <c r="C616" s="87"/>
      <c r="D616" s="87"/>
      <c r="E616" s="87"/>
    </row>
    <row r="617">
      <c r="B617" s="87"/>
      <c r="C617" s="87"/>
      <c r="D617" s="87"/>
      <c r="E617" s="87"/>
    </row>
    <row r="618">
      <c r="B618" s="87"/>
      <c r="C618" s="87"/>
      <c r="D618" s="87"/>
      <c r="E618" s="87"/>
    </row>
    <row r="619">
      <c r="B619" s="87"/>
      <c r="C619" s="87"/>
      <c r="D619" s="87"/>
      <c r="E619" s="87"/>
    </row>
    <row r="620">
      <c r="B620" s="87"/>
      <c r="C620" s="87"/>
      <c r="D620" s="87"/>
      <c r="E620" s="87"/>
    </row>
    <row r="621">
      <c r="B621" s="87"/>
      <c r="C621" s="87"/>
      <c r="D621" s="87"/>
      <c r="E621" s="87"/>
    </row>
    <row r="622">
      <c r="B622" s="87"/>
      <c r="C622" s="87"/>
      <c r="D622" s="87"/>
      <c r="E622" s="87"/>
    </row>
    <row r="623">
      <c r="B623" s="87"/>
      <c r="C623" s="87"/>
      <c r="D623" s="87"/>
      <c r="E623" s="87"/>
    </row>
    <row r="624">
      <c r="B624" s="87"/>
      <c r="C624" s="87"/>
      <c r="D624" s="87"/>
      <c r="E624" s="87"/>
    </row>
    <row r="625">
      <c r="B625" s="87"/>
      <c r="C625" s="87"/>
      <c r="D625" s="87"/>
      <c r="E625" s="87"/>
    </row>
    <row r="626">
      <c r="B626" s="87"/>
      <c r="C626" s="87"/>
      <c r="D626" s="87"/>
      <c r="E626" s="87"/>
    </row>
    <row r="627">
      <c r="B627" s="87"/>
      <c r="C627" s="87"/>
      <c r="D627" s="87"/>
      <c r="E627" s="87"/>
    </row>
    <row r="628">
      <c r="B628" s="87"/>
      <c r="C628" s="87"/>
      <c r="D628" s="87"/>
      <c r="E628" s="87"/>
    </row>
    <row r="629">
      <c r="B629" s="87"/>
      <c r="C629" s="87"/>
      <c r="D629" s="87"/>
      <c r="E629" s="87"/>
    </row>
    <row r="630">
      <c r="B630" s="87"/>
      <c r="C630" s="87"/>
      <c r="D630" s="87"/>
      <c r="E630" s="87"/>
    </row>
    <row r="631">
      <c r="B631" s="87"/>
      <c r="C631" s="87"/>
      <c r="D631" s="87"/>
      <c r="E631" s="87"/>
    </row>
    <row r="632">
      <c r="B632" s="87"/>
      <c r="C632" s="87"/>
      <c r="D632" s="87"/>
      <c r="E632" s="87"/>
    </row>
    <row r="633">
      <c r="B633" s="87"/>
      <c r="C633" s="87"/>
      <c r="D633" s="87"/>
      <c r="E633" s="87"/>
    </row>
    <row r="634">
      <c r="B634" s="87"/>
      <c r="C634" s="87"/>
      <c r="D634" s="87"/>
      <c r="E634" s="87"/>
    </row>
    <row r="635">
      <c r="B635" s="87"/>
      <c r="C635" s="87"/>
      <c r="D635" s="87"/>
      <c r="E635" s="87"/>
    </row>
    <row r="636">
      <c r="B636" s="87"/>
      <c r="C636" s="87"/>
      <c r="D636" s="87"/>
      <c r="E636" s="87"/>
    </row>
    <row r="637">
      <c r="B637" s="87"/>
      <c r="C637" s="87"/>
      <c r="D637" s="87"/>
      <c r="E637" s="87"/>
    </row>
    <row r="638">
      <c r="B638" s="87"/>
      <c r="C638" s="87"/>
      <c r="D638" s="87"/>
      <c r="E638" s="87"/>
    </row>
    <row r="639">
      <c r="B639" s="87"/>
      <c r="C639" s="87"/>
      <c r="D639" s="87"/>
      <c r="E639" s="87"/>
    </row>
    <row r="640">
      <c r="B640" s="87"/>
      <c r="C640" s="87"/>
      <c r="D640" s="87"/>
      <c r="E640" s="87"/>
    </row>
    <row r="641">
      <c r="B641" s="87"/>
      <c r="C641" s="87"/>
      <c r="D641" s="87"/>
      <c r="E641" s="87"/>
    </row>
    <row r="642">
      <c r="B642" s="87"/>
      <c r="C642" s="87"/>
      <c r="D642" s="87"/>
      <c r="E642" s="87"/>
    </row>
    <row r="643">
      <c r="B643" s="87"/>
      <c r="C643" s="87"/>
      <c r="D643" s="87"/>
      <c r="E643" s="87"/>
    </row>
    <row r="644">
      <c r="B644" s="87"/>
      <c r="C644" s="87"/>
      <c r="D644" s="87"/>
      <c r="E644" s="87"/>
    </row>
    <row r="645">
      <c r="B645" s="87"/>
      <c r="C645" s="87"/>
      <c r="D645" s="87"/>
      <c r="E645" s="87"/>
    </row>
    <row r="646">
      <c r="B646" s="87"/>
      <c r="C646" s="87"/>
      <c r="D646" s="87"/>
      <c r="E646" s="87"/>
    </row>
    <row r="647">
      <c r="B647" s="87"/>
      <c r="C647" s="87"/>
      <c r="D647" s="87"/>
      <c r="E647" s="87"/>
    </row>
    <row r="648">
      <c r="B648" s="87"/>
      <c r="C648" s="87"/>
      <c r="D648" s="87"/>
      <c r="E648" s="87"/>
    </row>
    <row r="649">
      <c r="B649" s="87"/>
      <c r="C649" s="87"/>
      <c r="D649" s="87"/>
      <c r="E649" s="87"/>
    </row>
    <row r="650">
      <c r="B650" s="87"/>
      <c r="C650" s="87"/>
      <c r="D650" s="87"/>
      <c r="E650" s="87"/>
    </row>
    <row r="651">
      <c r="B651" s="87"/>
      <c r="C651" s="87"/>
      <c r="D651" s="87"/>
      <c r="E651" s="87"/>
    </row>
    <row r="652">
      <c r="B652" s="87"/>
      <c r="C652" s="87"/>
      <c r="D652" s="87"/>
      <c r="E652" s="87"/>
    </row>
    <row r="653">
      <c r="B653" s="87"/>
      <c r="C653" s="87"/>
      <c r="D653" s="87"/>
      <c r="E653" s="87"/>
    </row>
    <row r="654">
      <c r="B654" s="87"/>
      <c r="C654" s="87"/>
      <c r="D654" s="87"/>
      <c r="E654" s="87"/>
    </row>
    <row r="655">
      <c r="B655" s="87"/>
      <c r="C655" s="87"/>
      <c r="D655" s="87"/>
      <c r="E655" s="87"/>
    </row>
    <row r="656">
      <c r="B656" s="87"/>
      <c r="C656" s="87"/>
      <c r="D656" s="87"/>
      <c r="E656" s="87"/>
    </row>
    <row r="657">
      <c r="B657" s="87"/>
      <c r="C657" s="87"/>
      <c r="D657" s="87"/>
      <c r="E657" s="87"/>
    </row>
    <row r="658">
      <c r="B658" s="87"/>
      <c r="C658" s="87"/>
      <c r="D658" s="87"/>
      <c r="E658" s="87"/>
    </row>
    <row r="659">
      <c r="B659" s="87"/>
      <c r="C659" s="87"/>
      <c r="D659" s="87"/>
      <c r="E659" s="87"/>
    </row>
    <row r="660">
      <c r="B660" s="87"/>
      <c r="C660" s="87"/>
      <c r="D660" s="87"/>
      <c r="E660" s="87"/>
    </row>
    <row r="661">
      <c r="B661" s="87"/>
      <c r="C661" s="87"/>
      <c r="D661" s="87"/>
      <c r="E661" s="87"/>
    </row>
    <row r="662">
      <c r="B662" s="87"/>
      <c r="C662" s="87"/>
      <c r="D662" s="87"/>
      <c r="E662" s="87"/>
    </row>
    <row r="663">
      <c r="B663" s="87"/>
      <c r="C663" s="87"/>
      <c r="D663" s="87"/>
      <c r="E663" s="87"/>
    </row>
    <row r="664">
      <c r="B664" s="87"/>
      <c r="C664" s="87"/>
      <c r="D664" s="87"/>
      <c r="E664" s="87"/>
    </row>
    <row r="665">
      <c r="B665" s="87"/>
      <c r="C665" s="87"/>
      <c r="D665" s="87"/>
      <c r="E665" s="87"/>
    </row>
    <row r="666">
      <c r="B666" s="87"/>
      <c r="C666" s="87"/>
      <c r="D666" s="87"/>
      <c r="E666" s="87"/>
    </row>
    <row r="667">
      <c r="B667" s="87"/>
      <c r="C667" s="87"/>
      <c r="D667" s="87"/>
      <c r="E667" s="87"/>
    </row>
    <row r="668">
      <c r="B668" s="87"/>
      <c r="C668" s="87"/>
      <c r="D668" s="87"/>
      <c r="E668" s="87"/>
    </row>
    <row r="669">
      <c r="B669" s="87"/>
      <c r="C669" s="87"/>
      <c r="D669" s="87"/>
      <c r="E669" s="87"/>
    </row>
    <row r="670">
      <c r="B670" s="87"/>
      <c r="C670" s="87"/>
      <c r="D670" s="87"/>
      <c r="E670" s="87"/>
    </row>
    <row r="671">
      <c r="B671" s="87"/>
      <c r="C671" s="87"/>
      <c r="D671" s="87"/>
      <c r="E671" s="87"/>
    </row>
    <row r="672">
      <c r="B672" s="87"/>
      <c r="C672" s="87"/>
      <c r="D672" s="87"/>
      <c r="E672" s="87"/>
    </row>
    <row r="673">
      <c r="B673" s="87"/>
      <c r="C673" s="87"/>
      <c r="D673" s="87"/>
      <c r="E673" s="87"/>
    </row>
    <row r="674">
      <c r="B674" s="87"/>
      <c r="C674" s="87"/>
      <c r="D674" s="87"/>
      <c r="E674" s="87"/>
    </row>
    <row r="675">
      <c r="B675" s="87"/>
      <c r="C675" s="87"/>
      <c r="D675" s="87"/>
      <c r="E675" s="87"/>
    </row>
    <row r="676">
      <c r="B676" s="87"/>
      <c r="C676" s="87"/>
      <c r="D676" s="87"/>
      <c r="E676" s="87"/>
    </row>
    <row r="677">
      <c r="B677" s="87"/>
      <c r="C677" s="87"/>
      <c r="D677" s="87"/>
      <c r="E677" s="87"/>
    </row>
    <row r="678">
      <c r="B678" s="87"/>
      <c r="C678" s="87"/>
      <c r="D678" s="87"/>
      <c r="E678" s="87"/>
    </row>
    <row r="679">
      <c r="B679" s="87"/>
      <c r="C679" s="87"/>
      <c r="D679" s="87"/>
      <c r="E679" s="87"/>
    </row>
    <row r="680">
      <c r="B680" s="87"/>
      <c r="C680" s="87"/>
      <c r="D680" s="87"/>
      <c r="E680" s="87"/>
    </row>
    <row r="681">
      <c r="B681" s="87"/>
      <c r="C681" s="87"/>
      <c r="D681" s="87"/>
      <c r="E681" s="87"/>
    </row>
    <row r="682">
      <c r="B682" s="87"/>
      <c r="C682" s="87"/>
      <c r="D682" s="87"/>
      <c r="E682" s="87"/>
    </row>
    <row r="683">
      <c r="B683" s="87"/>
      <c r="C683" s="87"/>
      <c r="D683" s="87"/>
      <c r="E683" s="87"/>
    </row>
    <row r="684">
      <c r="B684" s="87"/>
      <c r="C684" s="87"/>
      <c r="D684" s="87"/>
      <c r="E684" s="87"/>
    </row>
    <row r="685">
      <c r="B685" s="87"/>
      <c r="C685" s="87"/>
      <c r="D685" s="87"/>
      <c r="E685" s="87"/>
    </row>
    <row r="686">
      <c r="B686" s="87"/>
      <c r="C686" s="87"/>
      <c r="D686" s="87"/>
      <c r="E686" s="87"/>
    </row>
    <row r="687">
      <c r="B687" s="87"/>
      <c r="C687" s="87"/>
      <c r="D687" s="87"/>
      <c r="E687" s="87"/>
    </row>
    <row r="688">
      <c r="B688" s="87"/>
      <c r="C688" s="87"/>
      <c r="D688" s="87"/>
      <c r="E688" s="87"/>
    </row>
    <row r="689">
      <c r="B689" s="87"/>
      <c r="C689" s="87"/>
      <c r="D689" s="87"/>
      <c r="E689" s="87"/>
    </row>
    <row r="690">
      <c r="B690" s="87"/>
      <c r="C690" s="87"/>
      <c r="D690" s="87"/>
      <c r="E690" s="87"/>
    </row>
    <row r="691">
      <c r="B691" s="87"/>
      <c r="C691" s="87"/>
      <c r="D691" s="87"/>
      <c r="E691" s="87"/>
    </row>
    <row r="692">
      <c r="B692" s="87"/>
      <c r="C692" s="87"/>
      <c r="D692" s="87"/>
      <c r="E692" s="87"/>
    </row>
    <row r="693">
      <c r="B693" s="87"/>
      <c r="C693" s="87"/>
      <c r="D693" s="87"/>
      <c r="E693" s="87"/>
    </row>
    <row r="694">
      <c r="B694" s="87"/>
      <c r="C694" s="87"/>
      <c r="D694" s="87"/>
      <c r="E694" s="87"/>
    </row>
    <row r="695">
      <c r="B695" s="87"/>
      <c r="C695" s="87"/>
      <c r="D695" s="87"/>
      <c r="E695" s="87"/>
    </row>
    <row r="696">
      <c r="B696" s="87"/>
      <c r="C696" s="87"/>
      <c r="D696" s="87"/>
      <c r="E696" s="87"/>
    </row>
    <row r="697">
      <c r="B697" s="87"/>
      <c r="C697" s="87"/>
      <c r="D697" s="87"/>
      <c r="E697" s="87"/>
    </row>
    <row r="698">
      <c r="B698" s="87"/>
      <c r="C698" s="87"/>
      <c r="D698" s="87"/>
      <c r="E698" s="87"/>
    </row>
    <row r="699">
      <c r="B699" s="87"/>
      <c r="C699" s="87"/>
      <c r="D699" s="87"/>
      <c r="E699" s="87"/>
    </row>
    <row r="700">
      <c r="B700" s="87"/>
      <c r="C700" s="87"/>
      <c r="D700" s="87"/>
      <c r="E700" s="87"/>
    </row>
    <row r="701">
      <c r="B701" s="87"/>
      <c r="C701" s="87"/>
      <c r="D701" s="87"/>
      <c r="E701" s="87"/>
    </row>
    <row r="702">
      <c r="B702" s="87"/>
      <c r="C702" s="87"/>
      <c r="D702" s="87"/>
      <c r="E702" s="87"/>
    </row>
    <row r="703">
      <c r="B703" s="87"/>
      <c r="C703" s="87"/>
      <c r="D703" s="87"/>
      <c r="E703" s="87"/>
    </row>
    <row r="704">
      <c r="B704" s="87"/>
      <c r="C704" s="87"/>
      <c r="D704" s="87"/>
      <c r="E704" s="87"/>
    </row>
    <row r="705">
      <c r="B705" s="87"/>
      <c r="C705" s="87"/>
      <c r="D705" s="87"/>
      <c r="E705" s="87"/>
    </row>
    <row r="706">
      <c r="B706" s="87"/>
      <c r="C706" s="87"/>
      <c r="D706" s="87"/>
      <c r="E706" s="87"/>
    </row>
    <row r="707">
      <c r="B707" s="87"/>
      <c r="C707" s="87"/>
      <c r="D707" s="87"/>
      <c r="E707" s="87"/>
    </row>
    <row r="708">
      <c r="B708" s="87"/>
      <c r="C708" s="87"/>
      <c r="D708" s="87"/>
      <c r="E708" s="87"/>
    </row>
    <row r="709">
      <c r="B709" s="87"/>
      <c r="C709" s="87"/>
      <c r="D709" s="87"/>
      <c r="E709" s="87"/>
    </row>
    <row r="710">
      <c r="B710" s="87"/>
      <c r="C710" s="87"/>
      <c r="D710" s="87"/>
      <c r="E710" s="87"/>
    </row>
    <row r="711">
      <c r="B711" s="87"/>
      <c r="C711" s="87"/>
      <c r="D711" s="87"/>
      <c r="E711" s="87"/>
    </row>
    <row r="712">
      <c r="B712" s="87"/>
      <c r="C712" s="87"/>
      <c r="D712" s="87"/>
      <c r="E712" s="87"/>
    </row>
    <row r="713">
      <c r="B713" s="87"/>
      <c r="C713" s="87"/>
      <c r="D713" s="87"/>
      <c r="E713" s="87"/>
    </row>
    <row r="714">
      <c r="B714" s="87"/>
      <c r="C714" s="87"/>
      <c r="D714" s="87"/>
      <c r="E714" s="87"/>
    </row>
    <row r="715">
      <c r="B715" s="87"/>
      <c r="C715" s="87"/>
      <c r="D715" s="87"/>
      <c r="E715" s="87"/>
    </row>
    <row r="716">
      <c r="B716" s="87"/>
      <c r="C716" s="87"/>
      <c r="D716" s="87"/>
      <c r="E716" s="87"/>
    </row>
    <row r="717">
      <c r="B717" s="87"/>
      <c r="C717" s="87"/>
      <c r="D717" s="87"/>
      <c r="E717" s="87"/>
    </row>
    <row r="718">
      <c r="B718" s="87"/>
      <c r="C718" s="87"/>
      <c r="D718" s="87"/>
      <c r="E718" s="87"/>
    </row>
    <row r="719">
      <c r="B719" s="87"/>
      <c r="C719" s="87"/>
      <c r="D719" s="87"/>
      <c r="E719" s="87"/>
    </row>
    <row r="720">
      <c r="B720" s="87"/>
      <c r="C720" s="87"/>
      <c r="D720" s="87"/>
      <c r="E720" s="87"/>
    </row>
    <row r="721">
      <c r="B721" s="87"/>
      <c r="C721" s="87"/>
      <c r="D721" s="87"/>
      <c r="E721" s="87"/>
    </row>
    <row r="722">
      <c r="B722" s="87"/>
      <c r="C722" s="87"/>
      <c r="D722" s="87"/>
      <c r="E722" s="87"/>
    </row>
    <row r="723">
      <c r="B723" s="87"/>
      <c r="C723" s="87"/>
      <c r="D723" s="87"/>
      <c r="E723" s="87"/>
    </row>
    <row r="724">
      <c r="B724" s="87"/>
      <c r="C724" s="87"/>
      <c r="D724" s="87"/>
      <c r="E724" s="87"/>
    </row>
    <row r="725">
      <c r="B725" s="87"/>
      <c r="C725" s="87"/>
      <c r="D725" s="87"/>
      <c r="E725" s="87"/>
    </row>
    <row r="726">
      <c r="B726" s="87"/>
      <c r="C726" s="87"/>
      <c r="D726" s="87"/>
      <c r="E726" s="87"/>
    </row>
    <row r="727">
      <c r="B727" s="87"/>
      <c r="C727" s="87"/>
      <c r="D727" s="87"/>
      <c r="E727" s="87"/>
    </row>
    <row r="728">
      <c r="B728" s="87"/>
      <c r="C728" s="87"/>
      <c r="D728" s="87"/>
      <c r="E728" s="87"/>
    </row>
    <row r="729">
      <c r="B729" s="87"/>
      <c r="C729" s="87"/>
      <c r="D729" s="87"/>
      <c r="E729" s="87"/>
    </row>
    <row r="730">
      <c r="B730" s="87"/>
      <c r="C730" s="87"/>
      <c r="D730" s="87"/>
      <c r="E730" s="87"/>
    </row>
    <row r="731">
      <c r="B731" s="87"/>
      <c r="C731" s="87"/>
      <c r="D731" s="87"/>
      <c r="E731" s="87"/>
    </row>
    <row r="732">
      <c r="B732" s="87"/>
      <c r="C732" s="87"/>
      <c r="D732" s="87"/>
      <c r="E732" s="87"/>
    </row>
    <row r="733">
      <c r="B733" s="87"/>
      <c r="C733" s="87"/>
      <c r="D733" s="87"/>
      <c r="E733" s="87"/>
    </row>
    <row r="734">
      <c r="B734" s="87"/>
      <c r="C734" s="87"/>
      <c r="D734" s="87"/>
      <c r="E734" s="87"/>
    </row>
    <row r="735">
      <c r="B735" s="87"/>
      <c r="C735" s="87"/>
      <c r="D735" s="87"/>
      <c r="E735" s="87"/>
    </row>
    <row r="736">
      <c r="B736" s="87"/>
      <c r="C736" s="87"/>
      <c r="D736" s="87"/>
      <c r="E736" s="87"/>
    </row>
    <row r="737">
      <c r="B737" s="87"/>
      <c r="C737" s="87"/>
      <c r="D737" s="87"/>
      <c r="E737" s="87"/>
    </row>
    <row r="738">
      <c r="B738" s="87"/>
      <c r="C738" s="87"/>
      <c r="D738" s="87"/>
      <c r="E738" s="87"/>
    </row>
    <row r="739">
      <c r="B739" s="87"/>
      <c r="C739" s="87"/>
      <c r="D739" s="87"/>
      <c r="E739" s="87"/>
    </row>
    <row r="740">
      <c r="B740" s="87"/>
      <c r="C740" s="87"/>
      <c r="D740" s="87"/>
      <c r="E740" s="87"/>
    </row>
    <row r="741">
      <c r="B741" s="87"/>
      <c r="C741" s="87"/>
      <c r="D741" s="87"/>
      <c r="E741" s="87"/>
    </row>
    <row r="742">
      <c r="B742" s="87"/>
      <c r="C742" s="87"/>
      <c r="D742" s="87"/>
      <c r="E742" s="87"/>
    </row>
    <row r="743">
      <c r="B743" s="87"/>
      <c r="C743" s="87"/>
      <c r="D743" s="87"/>
      <c r="E743" s="87"/>
    </row>
    <row r="744">
      <c r="B744" s="87"/>
      <c r="C744" s="87"/>
      <c r="D744" s="87"/>
      <c r="E744" s="87"/>
    </row>
    <row r="745">
      <c r="B745" s="87"/>
      <c r="C745" s="87"/>
      <c r="D745" s="87"/>
      <c r="E745" s="87"/>
    </row>
    <row r="746">
      <c r="B746" s="87"/>
      <c r="C746" s="87"/>
      <c r="D746" s="87"/>
      <c r="E746" s="87"/>
    </row>
    <row r="747">
      <c r="B747" s="87"/>
      <c r="C747" s="87"/>
      <c r="D747" s="87"/>
      <c r="E747" s="87"/>
    </row>
    <row r="748">
      <c r="B748" s="87"/>
      <c r="C748" s="87"/>
      <c r="D748" s="87"/>
      <c r="E748" s="87"/>
    </row>
    <row r="749">
      <c r="B749" s="87"/>
      <c r="C749" s="87"/>
      <c r="D749" s="87"/>
      <c r="E749" s="87"/>
    </row>
    <row r="750">
      <c r="B750" s="87"/>
      <c r="C750" s="87"/>
      <c r="D750" s="87"/>
      <c r="E750" s="87"/>
    </row>
    <row r="751">
      <c r="B751" s="87"/>
      <c r="C751" s="87"/>
      <c r="D751" s="87"/>
      <c r="E751" s="87"/>
    </row>
    <row r="752">
      <c r="B752" s="87"/>
      <c r="C752" s="87"/>
      <c r="D752" s="87"/>
      <c r="E752" s="87"/>
    </row>
    <row r="753">
      <c r="B753" s="87"/>
      <c r="C753" s="87"/>
      <c r="D753" s="87"/>
      <c r="E753" s="87"/>
    </row>
    <row r="754">
      <c r="B754" s="87"/>
      <c r="C754" s="87"/>
      <c r="D754" s="87"/>
      <c r="E754" s="87"/>
    </row>
    <row r="755">
      <c r="B755" s="87"/>
      <c r="C755" s="87"/>
      <c r="D755" s="87"/>
      <c r="E755" s="87"/>
    </row>
    <row r="756">
      <c r="B756" s="87"/>
      <c r="C756" s="87"/>
      <c r="D756" s="87"/>
      <c r="E756" s="87"/>
    </row>
    <row r="757">
      <c r="B757" s="87"/>
      <c r="C757" s="87"/>
      <c r="D757" s="87"/>
      <c r="E757" s="87"/>
    </row>
    <row r="758">
      <c r="B758" s="87"/>
      <c r="C758" s="87"/>
      <c r="D758" s="87"/>
      <c r="E758" s="87"/>
    </row>
    <row r="759">
      <c r="B759" s="87"/>
      <c r="C759" s="87"/>
      <c r="D759" s="87"/>
      <c r="E759" s="87"/>
    </row>
    <row r="760">
      <c r="B760" s="87"/>
      <c r="C760" s="87"/>
      <c r="D760" s="87"/>
      <c r="E760" s="87"/>
    </row>
    <row r="761">
      <c r="B761" s="87"/>
      <c r="C761" s="87"/>
      <c r="D761" s="87"/>
      <c r="E761" s="87"/>
    </row>
    <row r="762">
      <c r="B762" s="87"/>
      <c r="C762" s="87"/>
      <c r="D762" s="87"/>
      <c r="E762" s="87"/>
    </row>
    <row r="763">
      <c r="B763" s="87"/>
      <c r="C763" s="87"/>
      <c r="D763" s="87"/>
      <c r="E763" s="87"/>
    </row>
    <row r="764">
      <c r="B764" s="87"/>
      <c r="C764" s="87"/>
      <c r="D764" s="87"/>
      <c r="E764" s="87"/>
    </row>
    <row r="765">
      <c r="B765" s="87"/>
      <c r="C765" s="87"/>
      <c r="D765" s="87"/>
      <c r="E765" s="87"/>
    </row>
    <row r="766">
      <c r="B766" s="87"/>
      <c r="C766" s="87"/>
      <c r="D766" s="87"/>
      <c r="E766" s="87"/>
    </row>
    <row r="767">
      <c r="B767" s="87"/>
      <c r="C767" s="87"/>
      <c r="D767" s="87"/>
      <c r="E767" s="87"/>
    </row>
    <row r="768">
      <c r="B768" s="87"/>
      <c r="C768" s="87"/>
      <c r="D768" s="87"/>
      <c r="E768" s="87"/>
    </row>
    <row r="769">
      <c r="B769" s="87"/>
      <c r="C769" s="87"/>
      <c r="D769" s="87"/>
      <c r="E769" s="87"/>
    </row>
    <row r="770">
      <c r="B770" s="87"/>
      <c r="C770" s="87"/>
      <c r="D770" s="87"/>
      <c r="E770" s="87"/>
    </row>
    <row r="771">
      <c r="B771" s="87"/>
      <c r="C771" s="87"/>
      <c r="D771" s="87"/>
      <c r="E771" s="87"/>
    </row>
    <row r="772">
      <c r="B772" s="87"/>
      <c r="C772" s="87"/>
      <c r="D772" s="87"/>
      <c r="E772" s="87"/>
    </row>
    <row r="773">
      <c r="B773" s="87"/>
      <c r="C773" s="87"/>
      <c r="D773" s="87"/>
      <c r="E773" s="87"/>
    </row>
    <row r="774">
      <c r="B774" s="87"/>
      <c r="C774" s="87"/>
      <c r="D774" s="87"/>
      <c r="E774" s="87"/>
    </row>
    <row r="775">
      <c r="B775" s="87"/>
      <c r="C775" s="87"/>
      <c r="D775" s="87"/>
      <c r="E775" s="87"/>
    </row>
    <row r="776">
      <c r="B776" s="87"/>
      <c r="C776" s="87"/>
      <c r="D776" s="87"/>
      <c r="E776" s="87"/>
    </row>
    <row r="777">
      <c r="B777" s="87"/>
      <c r="C777" s="87"/>
      <c r="D777" s="87"/>
      <c r="E777" s="87"/>
    </row>
    <row r="778">
      <c r="B778" s="87"/>
      <c r="C778" s="87"/>
      <c r="D778" s="87"/>
      <c r="E778" s="87"/>
    </row>
    <row r="779">
      <c r="B779" s="87"/>
      <c r="C779" s="87"/>
      <c r="D779" s="87"/>
      <c r="E779" s="87"/>
    </row>
    <row r="780">
      <c r="B780" s="87"/>
      <c r="C780" s="87"/>
      <c r="D780" s="87"/>
      <c r="E780" s="87"/>
    </row>
    <row r="781">
      <c r="B781" s="87"/>
      <c r="C781" s="87"/>
      <c r="D781" s="87"/>
      <c r="E781" s="87"/>
    </row>
    <row r="782">
      <c r="B782" s="87"/>
      <c r="C782" s="87"/>
      <c r="D782" s="87"/>
      <c r="E782" s="87"/>
    </row>
    <row r="783">
      <c r="B783" s="87"/>
      <c r="C783" s="87"/>
      <c r="D783" s="87"/>
      <c r="E783" s="87"/>
    </row>
    <row r="784">
      <c r="B784" s="87"/>
      <c r="C784" s="87"/>
      <c r="D784" s="87"/>
      <c r="E784" s="87"/>
    </row>
    <row r="785">
      <c r="B785" s="87"/>
      <c r="C785" s="87"/>
      <c r="D785" s="87"/>
      <c r="E785" s="87"/>
    </row>
    <row r="786">
      <c r="B786" s="87"/>
      <c r="C786" s="87"/>
      <c r="D786" s="87"/>
      <c r="E786" s="87"/>
    </row>
    <row r="787">
      <c r="B787" s="87"/>
      <c r="C787" s="87"/>
      <c r="D787" s="87"/>
      <c r="E787" s="87"/>
    </row>
    <row r="788">
      <c r="B788" s="87"/>
      <c r="C788" s="87"/>
      <c r="D788" s="87"/>
      <c r="E788" s="87"/>
    </row>
    <row r="789">
      <c r="B789" s="87"/>
      <c r="C789" s="87"/>
      <c r="D789" s="87"/>
      <c r="E789" s="87"/>
    </row>
    <row r="790">
      <c r="B790" s="87"/>
      <c r="C790" s="87"/>
      <c r="D790" s="87"/>
      <c r="E790" s="87"/>
    </row>
    <row r="791">
      <c r="B791" s="87"/>
      <c r="C791" s="87"/>
      <c r="D791" s="87"/>
      <c r="E791" s="87"/>
    </row>
    <row r="792">
      <c r="B792" s="87"/>
      <c r="C792" s="87"/>
      <c r="D792" s="87"/>
      <c r="E792" s="87"/>
    </row>
    <row r="793">
      <c r="B793" s="87"/>
      <c r="C793" s="87"/>
      <c r="D793" s="87"/>
      <c r="E793" s="87"/>
    </row>
    <row r="794">
      <c r="B794" s="87"/>
      <c r="C794" s="87"/>
      <c r="D794" s="87"/>
      <c r="E794" s="87"/>
    </row>
    <row r="795">
      <c r="B795" s="87"/>
      <c r="C795" s="87"/>
      <c r="D795" s="87"/>
      <c r="E795" s="87"/>
    </row>
    <row r="796">
      <c r="B796" s="87"/>
      <c r="C796" s="87"/>
      <c r="D796" s="87"/>
      <c r="E796" s="87"/>
    </row>
    <row r="797">
      <c r="B797" s="87"/>
      <c r="C797" s="87"/>
      <c r="D797" s="87"/>
      <c r="E797" s="87"/>
    </row>
    <row r="798">
      <c r="B798" s="87"/>
      <c r="C798" s="87"/>
      <c r="D798" s="87"/>
      <c r="E798" s="87"/>
    </row>
    <row r="799">
      <c r="B799" s="87"/>
      <c r="C799" s="87"/>
      <c r="D799" s="87"/>
      <c r="E799" s="87"/>
    </row>
    <row r="800">
      <c r="B800" s="87"/>
      <c r="C800" s="87"/>
      <c r="D800" s="87"/>
      <c r="E800" s="87"/>
    </row>
    <row r="801">
      <c r="B801" s="87"/>
      <c r="C801" s="87"/>
      <c r="D801" s="87"/>
      <c r="E801" s="87"/>
    </row>
    <row r="802">
      <c r="B802" s="87"/>
      <c r="C802" s="87"/>
      <c r="D802" s="87"/>
      <c r="E802" s="87"/>
    </row>
    <row r="803">
      <c r="B803" s="87"/>
      <c r="C803" s="87"/>
      <c r="D803" s="87"/>
      <c r="E803" s="87"/>
    </row>
    <row r="804">
      <c r="B804" s="87"/>
      <c r="C804" s="87"/>
      <c r="D804" s="87"/>
      <c r="E804" s="87"/>
    </row>
    <row r="805">
      <c r="B805" s="87"/>
      <c r="C805" s="87"/>
      <c r="D805" s="87"/>
      <c r="E805" s="87"/>
    </row>
    <row r="806">
      <c r="B806" s="87"/>
      <c r="C806" s="87"/>
      <c r="D806" s="87"/>
      <c r="E806" s="87"/>
    </row>
    <row r="807">
      <c r="B807" s="87"/>
      <c r="C807" s="87"/>
      <c r="D807" s="87"/>
      <c r="E807" s="87"/>
    </row>
    <row r="808">
      <c r="B808" s="87"/>
      <c r="C808" s="87"/>
      <c r="D808" s="87"/>
      <c r="E808" s="87"/>
    </row>
    <row r="809">
      <c r="B809" s="87"/>
      <c r="C809" s="87"/>
      <c r="D809" s="87"/>
      <c r="E809" s="87"/>
    </row>
    <row r="810">
      <c r="B810" s="87"/>
      <c r="C810" s="87"/>
      <c r="D810" s="87"/>
      <c r="E810" s="87"/>
    </row>
    <row r="811">
      <c r="B811" s="87"/>
      <c r="C811" s="87"/>
      <c r="D811" s="87"/>
      <c r="E811" s="87"/>
    </row>
    <row r="812">
      <c r="B812" s="87"/>
      <c r="C812" s="87"/>
      <c r="D812" s="87"/>
      <c r="E812" s="87"/>
    </row>
    <row r="813">
      <c r="B813" s="87"/>
      <c r="C813" s="87"/>
      <c r="D813" s="87"/>
      <c r="E813" s="87"/>
    </row>
    <row r="814">
      <c r="B814" s="87"/>
      <c r="C814" s="87"/>
      <c r="D814" s="87"/>
      <c r="E814" s="87"/>
    </row>
    <row r="815">
      <c r="B815" s="87"/>
      <c r="C815" s="87"/>
      <c r="D815" s="87"/>
      <c r="E815" s="87"/>
    </row>
    <row r="816">
      <c r="B816" s="87"/>
      <c r="C816" s="87"/>
      <c r="D816" s="87"/>
      <c r="E816" s="87"/>
    </row>
    <row r="817">
      <c r="B817" s="87"/>
      <c r="C817" s="87"/>
      <c r="D817" s="87"/>
      <c r="E817" s="87"/>
    </row>
    <row r="818">
      <c r="B818" s="87"/>
      <c r="C818" s="87"/>
      <c r="D818" s="87"/>
      <c r="E818" s="87"/>
    </row>
    <row r="819">
      <c r="B819" s="87"/>
      <c r="C819" s="87"/>
      <c r="D819" s="87"/>
      <c r="E819" s="87"/>
    </row>
    <row r="820">
      <c r="B820" s="87"/>
      <c r="C820" s="87"/>
      <c r="D820" s="87"/>
      <c r="E820" s="87"/>
    </row>
    <row r="821">
      <c r="B821" s="87"/>
      <c r="C821" s="87"/>
      <c r="D821" s="87"/>
      <c r="E821" s="87"/>
    </row>
    <row r="822">
      <c r="B822" s="87"/>
      <c r="C822" s="87"/>
      <c r="D822" s="87"/>
      <c r="E822" s="87"/>
    </row>
    <row r="823">
      <c r="B823" s="87"/>
      <c r="C823" s="87"/>
      <c r="D823" s="87"/>
      <c r="E823" s="87"/>
    </row>
    <row r="824">
      <c r="B824" s="87"/>
      <c r="C824" s="87"/>
      <c r="D824" s="87"/>
      <c r="E824" s="87"/>
    </row>
    <row r="825">
      <c r="B825" s="87"/>
      <c r="C825" s="87"/>
      <c r="D825" s="87"/>
      <c r="E825" s="87"/>
    </row>
    <row r="826">
      <c r="B826" s="87"/>
      <c r="C826" s="87"/>
      <c r="D826" s="87"/>
      <c r="E826" s="87"/>
    </row>
    <row r="827">
      <c r="B827" s="87"/>
      <c r="C827" s="87"/>
      <c r="D827" s="87"/>
      <c r="E827" s="87"/>
    </row>
    <row r="828">
      <c r="B828" s="87"/>
      <c r="C828" s="87"/>
      <c r="D828" s="87"/>
      <c r="E828" s="87"/>
    </row>
    <row r="829">
      <c r="B829" s="87"/>
      <c r="C829" s="87"/>
      <c r="D829" s="87"/>
      <c r="E829" s="87"/>
    </row>
    <row r="830">
      <c r="B830" s="87"/>
      <c r="C830" s="87"/>
      <c r="D830" s="87"/>
      <c r="E830" s="87"/>
    </row>
    <row r="831">
      <c r="B831" s="87"/>
      <c r="C831" s="87"/>
      <c r="D831" s="87"/>
      <c r="E831" s="87"/>
    </row>
    <row r="832">
      <c r="B832" s="87"/>
      <c r="C832" s="87"/>
      <c r="D832" s="87"/>
      <c r="E832" s="87"/>
    </row>
    <row r="833">
      <c r="B833" s="87"/>
      <c r="C833" s="87"/>
      <c r="D833" s="87"/>
      <c r="E833" s="87"/>
    </row>
    <row r="834">
      <c r="B834" s="87"/>
      <c r="C834" s="87"/>
      <c r="D834" s="87"/>
      <c r="E834" s="87"/>
    </row>
    <row r="835">
      <c r="B835" s="87"/>
      <c r="C835" s="87"/>
      <c r="D835" s="87"/>
      <c r="E835" s="87"/>
    </row>
    <row r="836">
      <c r="B836" s="87"/>
      <c r="C836" s="87"/>
      <c r="D836" s="87"/>
      <c r="E836" s="87"/>
    </row>
    <row r="837">
      <c r="B837" s="87"/>
      <c r="C837" s="87"/>
      <c r="D837" s="87"/>
      <c r="E837" s="87"/>
    </row>
    <row r="838">
      <c r="B838" s="87"/>
      <c r="C838" s="87"/>
      <c r="D838" s="87"/>
      <c r="E838" s="87"/>
    </row>
    <row r="839">
      <c r="B839" s="87"/>
      <c r="C839" s="87"/>
      <c r="D839" s="87"/>
      <c r="E839" s="87"/>
    </row>
    <row r="840">
      <c r="B840" s="87"/>
      <c r="C840" s="87"/>
      <c r="D840" s="87"/>
      <c r="E840" s="87"/>
    </row>
    <row r="841">
      <c r="B841" s="87"/>
      <c r="C841" s="87"/>
      <c r="D841" s="87"/>
      <c r="E841" s="87"/>
    </row>
    <row r="842">
      <c r="B842" s="87"/>
      <c r="C842" s="87"/>
      <c r="D842" s="87"/>
      <c r="E842" s="87"/>
    </row>
    <row r="843">
      <c r="B843" s="87"/>
      <c r="C843" s="87"/>
      <c r="D843" s="87"/>
      <c r="E843" s="87"/>
    </row>
    <row r="844">
      <c r="B844" s="87"/>
      <c r="C844" s="87"/>
      <c r="D844" s="87"/>
      <c r="E844" s="87"/>
    </row>
    <row r="845">
      <c r="B845" s="87"/>
      <c r="C845" s="87"/>
      <c r="D845" s="87"/>
      <c r="E845" s="87"/>
    </row>
    <row r="846">
      <c r="B846" s="87"/>
      <c r="C846" s="87"/>
      <c r="D846" s="87"/>
      <c r="E846" s="87"/>
    </row>
    <row r="847">
      <c r="B847" s="87"/>
      <c r="C847" s="87"/>
      <c r="D847" s="87"/>
      <c r="E847" s="87"/>
    </row>
    <row r="848">
      <c r="B848" s="87"/>
      <c r="C848" s="87"/>
      <c r="D848" s="87"/>
      <c r="E848" s="87"/>
    </row>
    <row r="849">
      <c r="B849" s="87"/>
      <c r="C849" s="87"/>
      <c r="D849" s="87"/>
      <c r="E849" s="87"/>
    </row>
    <row r="850">
      <c r="B850" s="87"/>
      <c r="C850" s="87"/>
      <c r="D850" s="87"/>
      <c r="E850" s="87"/>
    </row>
    <row r="851">
      <c r="B851" s="87"/>
      <c r="C851" s="87"/>
      <c r="D851" s="87"/>
      <c r="E851" s="87"/>
    </row>
    <row r="852">
      <c r="B852" s="87"/>
      <c r="C852" s="87"/>
      <c r="D852" s="87"/>
      <c r="E852" s="87"/>
    </row>
    <row r="853">
      <c r="B853" s="87"/>
      <c r="C853" s="87"/>
      <c r="D853" s="87"/>
      <c r="E853" s="87"/>
    </row>
    <row r="854">
      <c r="B854" s="87"/>
      <c r="C854" s="87"/>
      <c r="D854" s="87"/>
      <c r="E854" s="87"/>
    </row>
    <row r="855">
      <c r="B855" s="87"/>
      <c r="C855" s="87"/>
      <c r="D855" s="87"/>
      <c r="E855" s="87"/>
    </row>
    <row r="856">
      <c r="B856" s="87"/>
      <c r="C856" s="87"/>
      <c r="D856" s="87"/>
      <c r="E856" s="87"/>
    </row>
    <row r="857">
      <c r="B857" s="87"/>
      <c r="C857" s="87"/>
      <c r="D857" s="87"/>
      <c r="E857" s="87"/>
    </row>
    <row r="858">
      <c r="B858" s="87"/>
      <c r="C858" s="87"/>
      <c r="D858" s="87"/>
      <c r="E858" s="87"/>
    </row>
    <row r="859">
      <c r="B859" s="87"/>
      <c r="C859" s="87"/>
      <c r="D859" s="87"/>
      <c r="E859" s="87"/>
    </row>
    <row r="860">
      <c r="B860" s="87"/>
      <c r="C860" s="87"/>
      <c r="D860" s="87"/>
      <c r="E860" s="87"/>
    </row>
    <row r="861">
      <c r="B861" s="87"/>
      <c r="C861" s="87"/>
      <c r="D861" s="87"/>
      <c r="E861" s="87"/>
    </row>
    <row r="862">
      <c r="B862" s="87"/>
      <c r="C862" s="87"/>
      <c r="D862" s="87"/>
      <c r="E862" s="87"/>
    </row>
    <row r="863">
      <c r="B863" s="87"/>
      <c r="C863" s="87"/>
      <c r="D863" s="87"/>
      <c r="E863" s="87"/>
    </row>
    <row r="864">
      <c r="B864" s="87"/>
      <c r="C864" s="87"/>
      <c r="D864" s="87"/>
      <c r="E864" s="87"/>
    </row>
    <row r="865">
      <c r="B865" s="87"/>
      <c r="C865" s="87"/>
      <c r="D865" s="87"/>
      <c r="E865" s="87"/>
    </row>
    <row r="866">
      <c r="B866" s="87"/>
      <c r="C866" s="87"/>
      <c r="D866" s="87"/>
      <c r="E866" s="87"/>
    </row>
    <row r="867">
      <c r="B867" s="87"/>
      <c r="C867" s="87"/>
      <c r="D867" s="87"/>
      <c r="E867" s="87"/>
    </row>
    <row r="868">
      <c r="B868" s="87"/>
      <c r="C868" s="87"/>
      <c r="D868" s="87"/>
      <c r="E868" s="87"/>
    </row>
    <row r="869">
      <c r="B869" s="87"/>
      <c r="C869" s="87"/>
      <c r="D869" s="87"/>
      <c r="E869" s="87"/>
    </row>
    <row r="870">
      <c r="B870" s="87"/>
      <c r="C870" s="87"/>
      <c r="D870" s="87"/>
      <c r="E870" s="87"/>
    </row>
    <row r="871">
      <c r="B871" s="87"/>
      <c r="C871" s="87"/>
      <c r="D871" s="87"/>
      <c r="E871" s="87"/>
    </row>
    <row r="872">
      <c r="B872" s="87"/>
      <c r="C872" s="87"/>
      <c r="D872" s="87"/>
      <c r="E872" s="87"/>
    </row>
    <row r="873">
      <c r="B873" s="87"/>
      <c r="C873" s="87"/>
      <c r="D873" s="87"/>
      <c r="E873" s="87"/>
    </row>
    <row r="874">
      <c r="B874" s="87"/>
      <c r="C874" s="87"/>
      <c r="D874" s="87"/>
      <c r="E874" s="87"/>
    </row>
    <row r="875">
      <c r="B875" s="87"/>
      <c r="C875" s="87"/>
      <c r="D875" s="87"/>
      <c r="E875" s="87"/>
    </row>
    <row r="876">
      <c r="B876" s="87"/>
      <c r="C876" s="87"/>
      <c r="D876" s="87"/>
      <c r="E876" s="87"/>
    </row>
    <row r="877">
      <c r="B877" s="87"/>
      <c r="C877" s="87"/>
      <c r="D877" s="87"/>
      <c r="E877" s="87"/>
    </row>
    <row r="878">
      <c r="B878" s="87"/>
      <c r="C878" s="87"/>
      <c r="D878" s="87"/>
      <c r="E878" s="87"/>
    </row>
    <row r="879">
      <c r="B879" s="87"/>
      <c r="C879" s="87"/>
      <c r="D879" s="87"/>
      <c r="E879" s="87"/>
    </row>
    <row r="880">
      <c r="B880" s="87"/>
      <c r="C880" s="87"/>
      <c r="D880" s="87"/>
      <c r="E880" s="87"/>
    </row>
    <row r="881">
      <c r="B881" s="87"/>
      <c r="C881" s="87"/>
      <c r="D881" s="87"/>
      <c r="E881" s="87"/>
    </row>
    <row r="882">
      <c r="B882" s="87"/>
      <c r="C882" s="87"/>
      <c r="D882" s="87"/>
      <c r="E882" s="87"/>
    </row>
    <row r="883">
      <c r="B883" s="87"/>
      <c r="C883" s="87"/>
      <c r="D883" s="87"/>
      <c r="E883" s="87"/>
    </row>
    <row r="884">
      <c r="B884" s="87"/>
      <c r="C884" s="87"/>
      <c r="D884" s="87"/>
      <c r="E884" s="87"/>
    </row>
    <row r="885">
      <c r="B885" s="87"/>
      <c r="C885" s="87"/>
      <c r="D885" s="87"/>
      <c r="E885" s="87"/>
    </row>
    <row r="886">
      <c r="B886" s="87"/>
      <c r="C886" s="87"/>
      <c r="D886" s="87"/>
      <c r="E886" s="87"/>
    </row>
    <row r="887">
      <c r="B887" s="87"/>
      <c r="C887" s="87"/>
      <c r="D887" s="87"/>
      <c r="E887" s="87"/>
    </row>
    <row r="888">
      <c r="B888" s="87"/>
      <c r="C888" s="87"/>
      <c r="D888" s="87"/>
      <c r="E888" s="87"/>
    </row>
    <row r="889">
      <c r="B889" s="87"/>
      <c r="C889" s="87"/>
      <c r="D889" s="87"/>
      <c r="E889" s="87"/>
    </row>
    <row r="890">
      <c r="B890" s="87"/>
      <c r="C890" s="87"/>
      <c r="D890" s="87"/>
      <c r="E890" s="87"/>
    </row>
    <row r="891">
      <c r="B891" s="87"/>
      <c r="C891" s="87"/>
      <c r="D891" s="87"/>
      <c r="E891" s="87"/>
    </row>
    <row r="892">
      <c r="B892" s="87"/>
      <c r="C892" s="87"/>
      <c r="D892" s="87"/>
      <c r="E892" s="87"/>
    </row>
    <row r="893">
      <c r="B893" s="87"/>
      <c r="C893" s="87"/>
      <c r="D893" s="87"/>
      <c r="E893" s="87"/>
    </row>
    <row r="894">
      <c r="B894" s="87"/>
      <c r="C894" s="87"/>
      <c r="D894" s="87"/>
      <c r="E894" s="87"/>
    </row>
    <row r="895">
      <c r="B895" s="87"/>
      <c r="C895" s="87"/>
      <c r="D895" s="87"/>
      <c r="E895" s="87"/>
    </row>
    <row r="896">
      <c r="B896" s="87"/>
      <c r="C896" s="87"/>
      <c r="D896" s="87"/>
      <c r="E896" s="87"/>
    </row>
    <row r="897">
      <c r="B897" s="87"/>
      <c r="C897" s="87"/>
      <c r="D897" s="87"/>
      <c r="E897" s="87"/>
    </row>
    <row r="898">
      <c r="B898" s="87"/>
      <c r="C898" s="87"/>
      <c r="D898" s="87"/>
      <c r="E898" s="87"/>
    </row>
    <row r="899">
      <c r="B899" s="87"/>
      <c r="C899" s="87"/>
      <c r="D899" s="87"/>
      <c r="E899" s="87"/>
    </row>
    <row r="900">
      <c r="B900" s="87"/>
      <c r="C900" s="87"/>
      <c r="D900" s="87"/>
      <c r="E900" s="87"/>
    </row>
    <row r="901">
      <c r="B901" s="87"/>
      <c r="C901" s="87"/>
      <c r="D901" s="87"/>
      <c r="E901" s="87"/>
    </row>
    <row r="902">
      <c r="B902" s="87"/>
      <c r="C902" s="87"/>
      <c r="D902" s="87"/>
      <c r="E902" s="87"/>
    </row>
    <row r="903">
      <c r="B903" s="87"/>
      <c r="C903" s="87"/>
      <c r="D903" s="87"/>
      <c r="E903" s="87"/>
    </row>
    <row r="904">
      <c r="B904" s="87"/>
      <c r="C904" s="87"/>
      <c r="D904" s="87"/>
      <c r="E904" s="87"/>
    </row>
    <row r="905">
      <c r="B905" s="87"/>
      <c r="C905" s="87"/>
      <c r="D905" s="87"/>
      <c r="E905" s="87"/>
    </row>
    <row r="906">
      <c r="B906" s="87"/>
      <c r="C906" s="87"/>
      <c r="D906" s="87"/>
      <c r="E906" s="87"/>
    </row>
    <row r="907">
      <c r="B907" s="87"/>
      <c r="C907" s="87"/>
      <c r="D907" s="87"/>
      <c r="E907" s="87"/>
    </row>
    <row r="908">
      <c r="B908" s="87"/>
      <c r="C908" s="87"/>
      <c r="D908" s="87"/>
      <c r="E908" s="87"/>
    </row>
    <row r="909">
      <c r="B909" s="87"/>
      <c r="C909" s="87"/>
      <c r="D909" s="87"/>
      <c r="E909" s="87"/>
    </row>
    <row r="910">
      <c r="B910" s="87"/>
      <c r="C910" s="87"/>
      <c r="D910" s="87"/>
      <c r="E910" s="87"/>
    </row>
    <row r="911">
      <c r="B911" s="87"/>
      <c r="C911" s="87"/>
      <c r="D911" s="87"/>
      <c r="E911" s="87"/>
    </row>
    <row r="912">
      <c r="B912" s="87"/>
      <c r="C912" s="87"/>
      <c r="D912" s="87"/>
      <c r="E912" s="87"/>
    </row>
    <row r="913">
      <c r="B913" s="87"/>
      <c r="C913" s="87"/>
      <c r="D913" s="87"/>
      <c r="E913" s="87"/>
    </row>
    <row r="914">
      <c r="B914" s="87"/>
      <c r="C914" s="87"/>
      <c r="D914" s="87"/>
      <c r="E914" s="87"/>
    </row>
    <row r="915">
      <c r="B915" s="87"/>
      <c r="C915" s="87"/>
      <c r="D915" s="87"/>
      <c r="E915" s="87"/>
    </row>
    <row r="916">
      <c r="B916" s="87"/>
      <c r="C916" s="87"/>
      <c r="D916" s="87"/>
      <c r="E916" s="87"/>
    </row>
    <row r="917">
      <c r="B917" s="87"/>
      <c r="C917" s="87"/>
      <c r="D917" s="87"/>
      <c r="E917" s="87"/>
    </row>
    <row r="918">
      <c r="B918" s="87"/>
      <c r="C918" s="87"/>
      <c r="D918" s="87"/>
      <c r="E918" s="87"/>
    </row>
    <row r="919">
      <c r="B919" s="87"/>
      <c r="C919" s="87"/>
      <c r="D919" s="87"/>
      <c r="E919" s="87"/>
    </row>
    <row r="920">
      <c r="B920" s="87"/>
      <c r="C920" s="87"/>
      <c r="D920" s="87"/>
      <c r="E920" s="87"/>
    </row>
    <row r="921">
      <c r="B921" s="87"/>
      <c r="C921" s="87"/>
      <c r="D921" s="87"/>
      <c r="E921" s="87"/>
    </row>
    <row r="922">
      <c r="B922" s="87"/>
      <c r="C922" s="87"/>
      <c r="D922" s="87"/>
      <c r="E922" s="87"/>
    </row>
    <row r="923">
      <c r="B923" s="87"/>
      <c r="C923" s="87"/>
      <c r="D923" s="87"/>
      <c r="E923" s="87"/>
    </row>
    <row r="924">
      <c r="B924" s="87"/>
      <c r="C924" s="87"/>
      <c r="D924" s="87"/>
      <c r="E924" s="87"/>
    </row>
    <row r="925">
      <c r="B925" s="87"/>
      <c r="C925" s="87"/>
      <c r="D925" s="87"/>
      <c r="E925" s="87"/>
    </row>
    <row r="926">
      <c r="B926" s="87"/>
      <c r="C926" s="87"/>
      <c r="D926" s="87"/>
      <c r="E926" s="87"/>
    </row>
    <row r="927">
      <c r="B927" s="87"/>
      <c r="C927" s="87"/>
      <c r="D927" s="87"/>
      <c r="E927" s="87"/>
    </row>
    <row r="928">
      <c r="B928" s="87"/>
      <c r="C928" s="87"/>
      <c r="D928" s="87"/>
      <c r="E928" s="87"/>
    </row>
    <row r="929">
      <c r="B929" s="87"/>
      <c r="C929" s="87"/>
      <c r="D929" s="87"/>
      <c r="E929" s="87"/>
    </row>
    <row r="930">
      <c r="B930" s="87"/>
      <c r="C930" s="87"/>
      <c r="D930" s="87"/>
      <c r="E930" s="87"/>
    </row>
    <row r="931">
      <c r="B931" s="87"/>
      <c r="C931" s="87"/>
      <c r="D931" s="87"/>
      <c r="E931" s="87"/>
    </row>
    <row r="932">
      <c r="B932" s="87"/>
      <c r="C932" s="87"/>
      <c r="D932" s="87"/>
      <c r="E932" s="87"/>
    </row>
    <row r="933">
      <c r="B933" s="87"/>
      <c r="C933" s="87"/>
      <c r="D933" s="87"/>
      <c r="E933" s="87"/>
    </row>
    <row r="934">
      <c r="B934" s="87"/>
      <c r="C934" s="87"/>
      <c r="D934" s="87"/>
      <c r="E934" s="87"/>
    </row>
    <row r="935">
      <c r="B935" s="87"/>
      <c r="C935" s="87"/>
      <c r="D935" s="87"/>
      <c r="E935" s="87"/>
    </row>
    <row r="936">
      <c r="B936" s="87"/>
      <c r="C936" s="87"/>
      <c r="D936" s="87"/>
      <c r="E936" s="87"/>
    </row>
    <row r="937">
      <c r="B937" s="87"/>
      <c r="C937" s="87"/>
      <c r="D937" s="87"/>
      <c r="E937" s="87"/>
    </row>
    <row r="938">
      <c r="B938" s="87"/>
      <c r="C938" s="87"/>
      <c r="D938" s="87"/>
      <c r="E938" s="87"/>
    </row>
    <row r="939">
      <c r="B939" s="87"/>
      <c r="C939" s="87"/>
      <c r="D939" s="87"/>
      <c r="E939" s="87"/>
    </row>
    <row r="940">
      <c r="B940" s="87"/>
      <c r="C940" s="87"/>
      <c r="D940" s="87"/>
      <c r="E940" s="87"/>
    </row>
    <row r="941">
      <c r="B941" s="87"/>
      <c r="C941" s="87"/>
      <c r="D941" s="87"/>
      <c r="E941" s="87"/>
    </row>
    <row r="942">
      <c r="B942" s="87"/>
      <c r="C942" s="87"/>
      <c r="D942" s="87"/>
      <c r="E942" s="87"/>
    </row>
    <row r="943">
      <c r="B943" s="87"/>
      <c r="C943" s="87"/>
      <c r="D943" s="87"/>
      <c r="E943" s="87"/>
    </row>
    <row r="944">
      <c r="B944" s="87"/>
      <c r="C944" s="87"/>
      <c r="D944" s="87"/>
      <c r="E944" s="87"/>
    </row>
    <row r="945">
      <c r="B945" s="87"/>
      <c r="C945" s="87"/>
      <c r="D945" s="87"/>
      <c r="E945" s="87"/>
    </row>
    <row r="946">
      <c r="B946" s="87"/>
      <c r="C946" s="87"/>
      <c r="D946" s="87"/>
      <c r="E946" s="87"/>
    </row>
    <row r="947">
      <c r="B947" s="87"/>
      <c r="C947" s="87"/>
      <c r="D947" s="87"/>
      <c r="E947" s="87"/>
    </row>
    <row r="948">
      <c r="B948" s="87"/>
      <c r="C948" s="87"/>
      <c r="D948" s="87"/>
      <c r="E948" s="87"/>
    </row>
    <row r="949">
      <c r="B949" s="87"/>
      <c r="C949" s="87"/>
      <c r="D949" s="87"/>
      <c r="E949" s="87"/>
    </row>
    <row r="950">
      <c r="B950" s="87"/>
      <c r="C950" s="87"/>
      <c r="D950" s="87"/>
      <c r="E950" s="87"/>
    </row>
    <row r="951">
      <c r="B951" s="87"/>
      <c r="C951" s="87"/>
      <c r="D951" s="87"/>
      <c r="E951" s="87"/>
    </row>
    <row r="952">
      <c r="B952" s="87"/>
      <c r="C952" s="87"/>
      <c r="D952" s="87"/>
      <c r="E952" s="87"/>
    </row>
    <row r="953">
      <c r="B953" s="87"/>
      <c r="C953" s="87"/>
      <c r="D953" s="87"/>
      <c r="E953" s="87"/>
    </row>
    <row r="954">
      <c r="B954" s="87"/>
      <c r="C954" s="87"/>
      <c r="D954" s="87"/>
      <c r="E954" s="87"/>
    </row>
    <row r="955">
      <c r="B955" s="87"/>
      <c r="C955" s="87"/>
      <c r="D955" s="87"/>
      <c r="E955" s="87"/>
    </row>
    <row r="956">
      <c r="B956" s="87"/>
      <c r="C956" s="87"/>
      <c r="D956" s="87"/>
      <c r="E956" s="87"/>
    </row>
    <row r="957">
      <c r="B957" s="87"/>
      <c r="C957" s="87"/>
      <c r="D957" s="87"/>
      <c r="E957" s="87"/>
    </row>
    <row r="958">
      <c r="B958" s="87"/>
      <c r="C958" s="87"/>
      <c r="D958" s="87"/>
      <c r="E958" s="87"/>
    </row>
    <row r="959">
      <c r="B959" s="87"/>
      <c r="C959" s="87"/>
      <c r="D959" s="87"/>
      <c r="E959" s="87"/>
    </row>
    <row r="960">
      <c r="B960" s="87"/>
      <c r="C960" s="87"/>
      <c r="D960" s="87"/>
      <c r="E960" s="87"/>
    </row>
    <row r="961">
      <c r="B961" s="87"/>
      <c r="C961" s="87"/>
      <c r="D961" s="87"/>
      <c r="E961" s="87"/>
    </row>
    <row r="962">
      <c r="B962" s="87"/>
      <c r="C962" s="87"/>
      <c r="D962" s="87"/>
      <c r="E962" s="87"/>
    </row>
    <row r="963">
      <c r="B963" s="87"/>
      <c r="C963" s="87"/>
      <c r="D963" s="87"/>
      <c r="E963" s="87"/>
    </row>
    <row r="964">
      <c r="B964" s="87"/>
      <c r="C964" s="87"/>
      <c r="D964" s="87"/>
      <c r="E964" s="87"/>
    </row>
    <row r="965">
      <c r="B965" s="87"/>
      <c r="C965" s="87"/>
      <c r="D965" s="87"/>
      <c r="E965" s="87"/>
    </row>
    <row r="966">
      <c r="B966" s="87"/>
      <c r="C966" s="87"/>
      <c r="D966" s="87"/>
      <c r="E966" s="87"/>
    </row>
    <row r="967">
      <c r="B967" s="87"/>
      <c r="C967" s="87"/>
      <c r="D967" s="87"/>
      <c r="E967" s="87"/>
    </row>
    <row r="968">
      <c r="B968" s="87"/>
      <c r="C968" s="87"/>
      <c r="D968" s="87"/>
      <c r="E968" s="87"/>
    </row>
    <row r="969">
      <c r="B969" s="87"/>
      <c r="C969" s="87"/>
      <c r="D969" s="87"/>
      <c r="E969" s="87"/>
    </row>
    <row r="970">
      <c r="B970" s="87"/>
      <c r="C970" s="87"/>
      <c r="D970" s="87"/>
      <c r="E970" s="87"/>
    </row>
    <row r="971">
      <c r="B971" s="87"/>
      <c r="C971" s="87"/>
      <c r="D971" s="87"/>
      <c r="E971" s="87"/>
    </row>
    <row r="972">
      <c r="B972" s="87"/>
      <c r="C972" s="87"/>
      <c r="D972" s="87"/>
      <c r="E972" s="87"/>
    </row>
    <row r="973">
      <c r="B973" s="87"/>
      <c r="C973" s="87"/>
      <c r="D973" s="87"/>
      <c r="E973" s="87"/>
    </row>
    <row r="974">
      <c r="B974" s="87"/>
      <c r="C974" s="87"/>
      <c r="D974" s="87"/>
      <c r="E974" s="87"/>
    </row>
    <row r="975">
      <c r="B975" s="87"/>
      <c r="C975" s="87"/>
      <c r="D975" s="87"/>
      <c r="E975" s="87"/>
    </row>
    <row r="976">
      <c r="B976" s="87"/>
      <c r="C976" s="87"/>
      <c r="D976" s="87"/>
      <c r="E976" s="87"/>
    </row>
    <row r="977">
      <c r="B977" s="87"/>
      <c r="C977" s="87"/>
      <c r="D977" s="87"/>
      <c r="E977" s="87"/>
    </row>
    <row r="978">
      <c r="B978" s="87"/>
      <c r="C978" s="87"/>
      <c r="D978" s="87"/>
      <c r="E978" s="87"/>
    </row>
    <row r="979">
      <c r="B979" s="87"/>
      <c r="C979" s="87"/>
      <c r="D979" s="87"/>
      <c r="E979" s="87"/>
    </row>
    <row r="980">
      <c r="B980" s="87"/>
      <c r="C980" s="87"/>
      <c r="D980" s="87"/>
      <c r="E980" s="87"/>
    </row>
    <row r="981">
      <c r="B981" s="87"/>
      <c r="C981" s="87"/>
      <c r="D981" s="87"/>
      <c r="E981" s="87"/>
    </row>
    <row r="982">
      <c r="B982" s="87"/>
      <c r="C982" s="87"/>
      <c r="D982" s="87"/>
      <c r="E982" s="87"/>
    </row>
    <row r="983">
      <c r="B983" s="87"/>
      <c r="C983" s="87"/>
      <c r="D983" s="87"/>
      <c r="E983" s="87"/>
    </row>
    <row r="984">
      <c r="B984" s="87"/>
      <c r="C984" s="87"/>
      <c r="D984" s="87"/>
      <c r="E984" s="87"/>
    </row>
    <row r="985">
      <c r="B985" s="87"/>
      <c r="C985" s="87"/>
      <c r="D985" s="87"/>
      <c r="E985" s="87"/>
    </row>
    <row r="986">
      <c r="B986" s="87"/>
      <c r="C986" s="87"/>
      <c r="D986" s="87"/>
      <c r="E986" s="87"/>
    </row>
    <row r="987">
      <c r="B987" s="87"/>
      <c r="C987" s="87"/>
      <c r="D987" s="87"/>
      <c r="E987" s="87"/>
    </row>
    <row r="988">
      <c r="B988" s="87"/>
      <c r="C988" s="87"/>
      <c r="D988" s="87"/>
      <c r="E988" s="87"/>
    </row>
    <row r="989">
      <c r="B989" s="87"/>
      <c r="C989" s="87"/>
      <c r="D989" s="87"/>
      <c r="E989" s="87"/>
    </row>
    <row r="990">
      <c r="B990" s="87"/>
      <c r="C990" s="87"/>
      <c r="D990" s="87"/>
      <c r="E990" s="87"/>
    </row>
    <row r="991">
      <c r="B991" s="87"/>
      <c r="C991" s="87"/>
      <c r="D991" s="87"/>
      <c r="E991" s="87"/>
    </row>
    <row r="992">
      <c r="B992" s="87"/>
      <c r="C992" s="87"/>
      <c r="D992" s="87"/>
      <c r="E992" s="87"/>
    </row>
    <row r="993">
      <c r="B993" s="87"/>
      <c r="C993" s="87"/>
      <c r="D993" s="87"/>
      <c r="E993" s="87"/>
    </row>
    <row r="994">
      <c r="B994" s="87"/>
      <c r="C994" s="87"/>
      <c r="D994" s="87"/>
      <c r="E994" s="87"/>
    </row>
    <row r="995">
      <c r="B995" s="87"/>
      <c r="C995" s="87"/>
      <c r="D995" s="87"/>
      <c r="E995" s="87"/>
    </row>
    <row r="996">
      <c r="B996" s="87"/>
      <c r="C996" s="87"/>
      <c r="D996" s="87"/>
      <c r="E996" s="87"/>
    </row>
    <row r="997">
      <c r="B997" s="87"/>
      <c r="C997" s="87"/>
      <c r="D997" s="87"/>
      <c r="E997" s="87"/>
    </row>
    <row r="998">
      <c r="B998" s="87"/>
      <c r="C998" s="87"/>
      <c r="D998" s="87"/>
      <c r="E998" s="87"/>
    </row>
    <row r="999">
      <c r="B999" s="87"/>
      <c r="C999" s="87"/>
      <c r="D999" s="87"/>
      <c r="E999" s="87"/>
    </row>
    <row r="1000">
      <c r="B1000" s="87"/>
      <c r="C1000" s="87"/>
      <c r="D1000" s="87"/>
      <c r="E1000" s="87"/>
    </row>
    <row r="1001">
      <c r="B1001" s="87"/>
      <c r="C1001" s="87"/>
      <c r="D1001" s="87"/>
      <c r="E1001" s="87"/>
    </row>
    <row r="1002">
      <c r="B1002" s="87"/>
      <c r="C1002" s="87"/>
      <c r="D1002" s="87"/>
      <c r="E1002" s="87"/>
    </row>
  </sheetData>
  <mergeCells count="1">
    <mergeCell ref="C3:D3"/>
  </mergeCells>
  <conditionalFormatting sqref="D22">
    <cfRule type="notContainsBlanks" dxfId="0" priority="1">
      <formula>LEN(TRIM(D22))&gt;0</formula>
    </cfRule>
  </conditionalFormatting>
  <drawing r:id="rId1"/>
</worksheet>
</file>